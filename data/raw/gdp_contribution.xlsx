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ca\Documents\Island Economics\Consultancy\Belize-Labour-Assessment\Data\Belize-Labour-Market-Analysis\data\raw\"/>
    </mc:Choice>
  </mc:AlternateContent>
  <xr:revisionPtr revIDLastSave="0" documentId="13_ncr:1_{6E16B0A9-B022-4076-8C99-01BF8E59B9E8}" xr6:coauthVersionLast="47" xr6:coauthVersionMax="47" xr10:uidLastSave="{00000000-0000-0000-0000-000000000000}"/>
  <bookViews>
    <workbookView xWindow="-120" yWindow="-120" windowWidth="29040" windowHeight="15720" xr2:uid="{AD179C11-8BEC-4F2B-9AC5-DF02FD21FFF3}"/>
  </bookViews>
  <sheets>
    <sheet name="Real GD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4" i="1" l="1"/>
  <c r="AA4" i="1" s="1"/>
  <c r="J3" i="1"/>
  <c r="Y3" i="1" s="1"/>
  <c r="AA3" i="1" s="1"/>
  <c r="J4" i="1"/>
  <c r="J5" i="1"/>
  <c r="Y5" i="1" s="1"/>
  <c r="AA5" i="1" s="1"/>
  <c r="J6" i="1"/>
  <c r="Y6" i="1" s="1"/>
  <c r="AA6" i="1" s="1"/>
  <c r="J7" i="1"/>
  <c r="Y7" i="1" s="1"/>
  <c r="AA7" i="1" s="1"/>
  <c r="J8" i="1"/>
  <c r="Y8" i="1" s="1"/>
  <c r="AA8" i="1" s="1"/>
  <c r="J9" i="1"/>
  <c r="Y9" i="1" s="1"/>
  <c r="AA9" i="1" s="1"/>
  <c r="J10" i="1"/>
  <c r="Y10" i="1" s="1"/>
  <c r="AA10" i="1" s="1"/>
  <c r="J11" i="1"/>
  <c r="Y11" i="1" s="1"/>
  <c r="AA11" i="1" s="1"/>
  <c r="J12" i="1"/>
  <c r="Y12" i="1" s="1"/>
  <c r="AA12" i="1" s="1"/>
  <c r="J13" i="1"/>
  <c r="Y13" i="1" s="1"/>
  <c r="AA13" i="1" s="1"/>
  <c r="J14" i="1"/>
  <c r="Y14" i="1" s="1"/>
  <c r="AA14" i="1" s="1"/>
  <c r="J15" i="1"/>
  <c r="Y15" i="1" s="1"/>
  <c r="AA15" i="1" s="1"/>
  <c r="J16" i="1"/>
  <c r="J17" i="1"/>
  <c r="Y17" i="1" s="1"/>
  <c r="AA17" i="1" s="1"/>
  <c r="J18" i="1"/>
  <c r="Y18" i="1" s="1"/>
  <c r="AA18" i="1" s="1"/>
  <c r="J19" i="1"/>
  <c r="Y19" i="1" s="1"/>
  <c r="AA19" i="1" s="1"/>
  <c r="J20" i="1"/>
  <c r="Y20" i="1" s="1"/>
  <c r="AA20" i="1" s="1"/>
  <c r="J21" i="1"/>
  <c r="Y21" i="1" s="1"/>
  <c r="AA21" i="1" s="1"/>
  <c r="J22" i="1"/>
  <c r="Y22" i="1" s="1"/>
  <c r="AA22" i="1" s="1"/>
  <c r="J23" i="1"/>
  <c r="Y23" i="1" s="1"/>
  <c r="AA23" i="1" s="1"/>
  <c r="J24" i="1"/>
  <c r="Y24" i="1" s="1"/>
  <c r="AA24" i="1" s="1"/>
  <c r="J25" i="1"/>
  <c r="Y25" i="1" s="1"/>
  <c r="AA25" i="1" s="1"/>
  <c r="J26" i="1"/>
  <c r="Y26" i="1" s="1"/>
  <c r="AA26" i="1" s="1"/>
  <c r="J27" i="1"/>
  <c r="Y27" i="1" s="1"/>
  <c r="AA27" i="1" s="1"/>
  <c r="J28" i="1"/>
  <c r="J29" i="1"/>
  <c r="Y29" i="1" s="1"/>
  <c r="AA29" i="1" s="1"/>
  <c r="J30" i="1"/>
  <c r="Y30" i="1" s="1"/>
  <c r="AA30" i="1" s="1"/>
  <c r="J31" i="1"/>
  <c r="Y31" i="1" s="1"/>
  <c r="AA31" i="1" s="1"/>
  <c r="J32" i="1"/>
  <c r="Y32" i="1" s="1"/>
  <c r="AA32" i="1" s="1"/>
  <c r="J33" i="1"/>
  <c r="Y33" i="1" s="1"/>
  <c r="AA33" i="1" s="1"/>
  <c r="J34" i="1"/>
  <c r="Y34" i="1" s="1"/>
  <c r="AA34" i="1" s="1"/>
  <c r="J35" i="1"/>
  <c r="Y35" i="1" s="1"/>
  <c r="AA35" i="1" s="1"/>
  <c r="J36" i="1"/>
  <c r="Y36" i="1" s="1"/>
  <c r="AA36" i="1" s="1"/>
  <c r="J37" i="1"/>
  <c r="Y37" i="1" s="1"/>
  <c r="AA37" i="1" s="1"/>
  <c r="J38" i="1"/>
  <c r="Y38" i="1" s="1"/>
  <c r="AA38" i="1" s="1"/>
  <c r="J39" i="1"/>
  <c r="Y39" i="1" s="1"/>
  <c r="AA39" i="1" s="1"/>
  <c r="J40" i="1"/>
  <c r="J41" i="1"/>
  <c r="Y41" i="1" s="1"/>
  <c r="AA41" i="1" s="1"/>
  <c r="J42" i="1"/>
  <c r="Y42" i="1" s="1"/>
  <c r="AA42" i="1" s="1"/>
  <c r="J43" i="1"/>
  <c r="Y43" i="1" s="1"/>
  <c r="AA43" i="1" s="1"/>
  <c r="J44" i="1"/>
  <c r="Y44" i="1" s="1"/>
  <c r="AA44" i="1" s="1"/>
  <c r="J45" i="1"/>
  <c r="Y45" i="1" s="1"/>
  <c r="AA45" i="1" s="1"/>
  <c r="J46" i="1"/>
  <c r="Y46" i="1" s="1"/>
  <c r="AA46" i="1" s="1"/>
  <c r="J2" i="1"/>
  <c r="Y2" i="1" s="1"/>
  <c r="AA2" i="1" s="1"/>
  <c r="E2" i="1"/>
  <c r="E3" i="1"/>
  <c r="E4" i="1"/>
  <c r="E5" i="1"/>
  <c r="E6" i="1"/>
  <c r="E7" i="1"/>
  <c r="E8" i="1"/>
  <c r="E9" i="1"/>
  <c r="E10" i="1"/>
  <c r="E11" i="1"/>
  <c r="E12" i="1"/>
  <c r="E13" i="1"/>
  <c r="E15" i="1"/>
  <c r="E16" i="1"/>
  <c r="Y16" i="1" s="1"/>
  <c r="AA16" i="1" s="1"/>
  <c r="E17" i="1"/>
  <c r="E18" i="1"/>
  <c r="E19" i="1"/>
  <c r="E20" i="1"/>
  <c r="E21" i="1"/>
  <c r="E22" i="1"/>
  <c r="E23" i="1"/>
  <c r="E24" i="1"/>
  <c r="E25" i="1"/>
  <c r="E26" i="1"/>
  <c r="E27" i="1"/>
  <c r="E28" i="1"/>
  <c r="Y28" i="1" s="1"/>
  <c r="AA28" i="1" s="1"/>
  <c r="E29" i="1"/>
  <c r="E30" i="1"/>
  <c r="E31" i="1"/>
  <c r="E32" i="1"/>
  <c r="E33" i="1"/>
  <c r="E34" i="1"/>
  <c r="E35" i="1"/>
  <c r="E36" i="1"/>
  <c r="E37" i="1"/>
  <c r="E38" i="1"/>
  <c r="E39" i="1"/>
  <c r="E40" i="1"/>
  <c r="Y40" i="1" s="1"/>
  <c r="AA40" i="1" s="1"/>
  <c r="E41" i="1"/>
  <c r="E42" i="1"/>
  <c r="E43" i="1"/>
  <c r="E44" i="1"/>
  <c r="E45" i="1"/>
  <c r="E46" i="1"/>
  <c r="E14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2" i="1"/>
</calcChain>
</file>

<file path=xl/sharedStrings.xml><?xml version="1.0" encoding="utf-8"?>
<sst xmlns="http://schemas.openxmlformats.org/spreadsheetml/2006/main" count="27" uniqueCount="27">
  <si>
    <t>Year</t>
  </si>
  <si>
    <t>Agriculture, forestry and Fishing</t>
  </si>
  <si>
    <t>Mining</t>
  </si>
  <si>
    <t>Manufacturing</t>
  </si>
  <si>
    <t>Electricity</t>
  </si>
  <si>
    <t>Water</t>
  </si>
  <si>
    <t>Construction</t>
  </si>
  <si>
    <t>Tertiary Industries</t>
  </si>
  <si>
    <t>Secondary Industries</t>
  </si>
  <si>
    <t>Primary Industries</t>
  </si>
  <si>
    <t>Wholesale and Retail Trade</t>
  </si>
  <si>
    <t>Transport</t>
  </si>
  <si>
    <t>Accomodation and Food Services</t>
  </si>
  <si>
    <t>Information and Communication</t>
  </si>
  <si>
    <t>Financial and Insurance Services</t>
  </si>
  <si>
    <t>Reat Estate Activities</t>
  </si>
  <si>
    <t>Professional Scientific and Technical Activities</t>
  </si>
  <si>
    <t>Adminstrative and support service activities</t>
  </si>
  <si>
    <t>Public administration and defence</t>
  </si>
  <si>
    <t>Education</t>
  </si>
  <si>
    <t>Human health and social work activities</t>
  </si>
  <si>
    <t>Arts,entertainment, recreation</t>
  </si>
  <si>
    <t>Other service activities</t>
  </si>
  <si>
    <t>Activities of households as employers</t>
  </si>
  <si>
    <t>Taxes and Subsidies</t>
  </si>
  <si>
    <t>Gross Value Added</t>
  </si>
  <si>
    <t>Gross Domestic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</si>
</sst>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2" fontId="0" fillId="0" borderId="0" xfId="0" applyNumberFormat="1"/>
    <xf numFmtId="0" fontId="1" fillId="2" borderId="0" xfId="0" applyFont="1" applyFill="1"/>
    <xf numFmtId="2" fontId="1" fillId="2" borderId="0" xfId="0" applyNumberFormat="1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088EF-0E6E-4272-89CD-815850249326}">
  <dimension ref="A1:AA46"/>
  <sheetViews>
    <sheetView tabSelected="1" zoomScaleNormal="100" workbookViewId="0">
      <pane xSplit="1" ySplit="1" topLeftCell="S2" activePane="bottomRight" state="frozen"/>
      <selection pane="topRight" activeCell="B1" sqref="B1"/>
      <selection pane="bottomLeft" activeCell="A2" sqref="A2"/>
      <selection pane="bottomRight" activeCell="AB1" sqref="AB1:AB1048576"/>
    </sheetView>
  </sheetViews>
  <sheetFormatPr defaultRowHeight="15" x14ac:dyDescent="0.25"/>
  <cols>
    <col min="1" max="1" width="9.140625" style="2"/>
    <col min="2" max="2" width="17.7109375" style="4" bestFit="1" customWidth="1"/>
    <col min="3" max="3" width="30.28515625" bestFit="1" customWidth="1"/>
    <col min="5" max="5" width="20.28515625" style="4" bestFit="1" customWidth="1"/>
    <col min="6" max="6" width="14" bestFit="1" customWidth="1"/>
    <col min="7" max="7" width="10.140625" bestFit="1" customWidth="1"/>
    <col min="9" max="9" width="12.85546875" bestFit="1" customWidth="1"/>
    <col min="10" max="10" width="17.7109375" style="6" bestFit="1" customWidth="1"/>
    <col min="11" max="11" width="26" bestFit="1" customWidth="1"/>
    <col min="12" max="12" width="9.5703125" bestFit="1" customWidth="1"/>
    <col min="13" max="13" width="31.28515625" bestFit="1" customWidth="1"/>
    <col min="14" max="15" width="30.85546875" bestFit="1" customWidth="1"/>
    <col min="16" max="16" width="20.42578125" bestFit="1" customWidth="1"/>
    <col min="17" max="17" width="44" bestFit="1" customWidth="1"/>
    <col min="18" max="18" width="41.42578125" bestFit="1" customWidth="1"/>
    <col min="19" max="19" width="32.42578125" bestFit="1" customWidth="1"/>
    <col min="20" max="20" width="10" bestFit="1" customWidth="1"/>
    <col min="21" max="21" width="37.28515625" bestFit="1" customWidth="1"/>
    <col min="22" max="22" width="29" bestFit="1" customWidth="1"/>
    <col min="23" max="23" width="22.28515625" bestFit="1" customWidth="1"/>
    <col min="24" max="24" width="36" bestFit="1" customWidth="1"/>
    <col min="25" max="25" width="36" style="4" customWidth="1"/>
    <col min="26" max="26" width="19.42578125" bestFit="1" customWidth="1"/>
    <col min="27" max="27" width="23.28515625" style="4" bestFit="1" customWidth="1"/>
  </cols>
  <sheetData>
    <row r="1" spans="1:27" x14ac:dyDescent="0.25">
      <c r="A1" s="1" t="s">
        <v>0</v>
      </c>
      <c r="B1" s="4" t="s">
        <v>9</v>
      </c>
      <c r="C1" s="2" t="s">
        <v>1</v>
      </c>
      <c r="D1" s="2" t="s">
        <v>2</v>
      </c>
      <c r="E1" s="4" t="s">
        <v>8</v>
      </c>
      <c r="F1" s="2" t="s">
        <v>3</v>
      </c>
      <c r="G1" s="2" t="s">
        <v>4</v>
      </c>
      <c r="H1" s="2" t="s">
        <v>5</v>
      </c>
      <c r="I1" s="2" t="s">
        <v>6</v>
      </c>
      <c r="J1" s="4" t="s">
        <v>7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4" t="s">
        <v>25</v>
      </c>
      <c r="Z1" s="2" t="s">
        <v>24</v>
      </c>
      <c r="AA1" s="4" t="s">
        <v>26</v>
      </c>
    </row>
    <row r="2" spans="1:27" x14ac:dyDescent="0.25">
      <c r="A2" s="2">
        <v>1980</v>
      </c>
      <c r="B2" s="5">
        <f>C2+D2</f>
        <v>115.21142513950389</v>
      </c>
      <c r="C2" s="3">
        <v>109.0190982709638</v>
      </c>
      <c r="D2" s="3">
        <v>6.1923268685400883</v>
      </c>
      <c r="E2" s="5">
        <f t="shared" ref="E2:E13" si="0">SUM(F2:I2)</f>
        <v>253.29819736608175</v>
      </c>
      <c r="F2" s="3">
        <v>150.57329100778711</v>
      </c>
      <c r="G2" s="3">
        <v>10.05694404301591</v>
      </c>
      <c r="H2" s="3">
        <v>5.2745980038023808</v>
      </c>
      <c r="I2" s="3">
        <v>87.393364311476375</v>
      </c>
      <c r="J2" s="5">
        <f>SUM(K2:X2)</f>
        <v>619.06741202431976</v>
      </c>
      <c r="K2" s="3">
        <v>151.11860075777807</v>
      </c>
      <c r="L2" s="3">
        <v>21.423096750682298</v>
      </c>
      <c r="M2" s="3">
        <v>44.718696328063288</v>
      </c>
      <c r="N2" s="3">
        <v>14.300181037257667</v>
      </c>
      <c r="O2" s="3">
        <v>23.797829576983325</v>
      </c>
      <c r="P2">
        <v>85.179320582977198</v>
      </c>
      <c r="Q2">
        <v>15.059512868357047</v>
      </c>
      <c r="R2">
        <v>22.953488669091762</v>
      </c>
      <c r="S2">
        <v>80.952937194330559</v>
      </c>
      <c r="T2">
        <v>87.728913061746454</v>
      </c>
      <c r="U2">
        <v>15.49580634857168</v>
      </c>
      <c r="V2">
        <v>12.174845266018632</v>
      </c>
      <c r="W2">
        <v>30.826743856334094</v>
      </c>
      <c r="X2">
        <v>13.337439726127608</v>
      </c>
      <c r="Y2" s="5">
        <f>J2+E2+B2</f>
        <v>987.5770345299054</v>
      </c>
      <c r="Z2" s="3">
        <v>49.355409424382671</v>
      </c>
      <c r="AA2" s="5">
        <f>Z2+Y2</f>
        <v>1036.9324439542881</v>
      </c>
    </row>
    <row r="3" spans="1:27" x14ac:dyDescent="0.25">
      <c r="A3" s="2">
        <v>1981</v>
      </c>
      <c r="B3" s="5">
        <f t="shared" ref="B3:B46" si="1">C3+D3</f>
        <v>117.76012167182323</v>
      </c>
      <c r="C3" s="3">
        <v>111.61333880728803</v>
      </c>
      <c r="D3" s="3">
        <v>6.1467828645351981</v>
      </c>
      <c r="E3" s="5">
        <f t="shared" si="0"/>
        <v>262.37463072689661</v>
      </c>
      <c r="F3" s="3">
        <v>156.77658012863239</v>
      </c>
      <c r="G3" s="3">
        <v>10.578037987499602</v>
      </c>
      <c r="H3" s="3">
        <v>5.5478978320216639</v>
      </c>
      <c r="I3" s="3">
        <v>89.47211477874292</v>
      </c>
      <c r="J3" s="5">
        <f t="shared" ref="J3:J46" si="2">SUM(K3:X3)</f>
        <v>629.22948633792123</v>
      </c>
      <c r="K3" s="3">
        <v>147.15231069272656</v>
      </c>
      <c r="L3" s="3">
        <v>23.564936113055211</v>
      </c>
      <c r="M3" s="3">
        <v>43.545000171014109</v>
      </c>
      <c r="N3" s="3">
        <v>15.729885201464541</v>
      </c>
      <c r="O3" s="3">
        <v>24.607041569274386</v>
      </c>
      <c r="P3">
        <v>86.869473595347245</v>
      </c>
      <c r="Q3">
        <v>15.358328130853586</v>
      </c>
      <c r="R3">
        <v>23.408938510120667</v>
      </c>
      <c r="S3">
        <v>83.806081838337505</v>
      </c>
      <c r="T3">
        <v>90.820873490875897</v>
      </c>
      <c r="U3">
        <v>16.041948075114153</v>
      </c>
      <c r="V3">
        <v>12.603941426902429</v>
      </c>
      <c r="W3">
        <v>31.91321659190314</v>
      </c>
      <c r="X3">
        <v>13.807510930931668</v>
      </c>
      <c r="Y3" s="5">
        <f t="shared" ref="Y3:Y46" si="3">J3+E3+B3</f>
        <v>1009.364238736641</v>
      </c>
      <c r="Z3" s="3">
        <v>46.779491275288962</v>
      </c>
      <c r="AA3" s="5">
        <f t="shared" ref="AA3:AA46" si="4">Z3+Y3</f>
        <v>1056.1437300119301</v>
      </c>
    </row>
    <row r="4" spans="1:27" x14ac:dyDescent="0.25">
      <c r="A4" s="2">
        <v>1982</v>
      </c>
      <c r="B4" s="5">
        <f t="shared" si="1"/>
        <v>122.89845126185806</v>
      </c>
      <c r="C4" s="3">
        <v>116.7677223208369</v>
      </c>
      <c r="D4" s="3">
        <v>6.1307289410211627</v>
      </c>
      <c r="E4" s="5">
        <f t="shared" si="0"/>
        <v>250.31964177200814</v>
      </c>
      <c r="F4" s="3">
        <v>154.83017564150487</v>
      </c>
      <c r="G4" s="3">
        <v>11.771237204296053</v>
      </c>
      <c r="H4" s="3">
        <v>6.1736988884990316</v>
      </c>
      <c r="I4" s="3">
        <v>77.544530037708199</v>
      </c>
      <c r="J4" s="5">
        <f t="shared" si="2"/>
        <v>641.53870598993024</v>
      </c>
      <c r="K4" s="3">
        <v>121.33164101247209</v>
      </c>
      <c r="L4" s="3">
        <v>27.283087945561565</v>
      </c>
      <c r="M4" s="3">
        <v>35.904202276985835</v>
      </c>
      <c r="N4" s="3">
        <v>18.211797361393465</v>
      </c>
      <c r="O4" s="3">
        <v>22.101259631258905</v>
      </c>
      <c r="P4">
        <v>84.753395456196642</v>
      </c>
      <c r="Q4">
        <v>14.984210261059777</v>
      </c>
      <c r="R4">
        <v>22.838713539347502</v>
      </c>
      <c r="S4">
        <v>98.998203107250959</v>
      </c>
      <c r="T4">
        <v>107.28461566275793</v>
      </c>
      <c r="U4">
        <v>18.949985477660515</v>
      </c>
      <c r="V4">
        <v>14.888747045105069</v>
      </c>
      <c r="W4">
        <v>37.698351106132463</v>
      </c>
      <c r="X4">
        <v>16.31049610674744</v>
      </c>
      <c r="Y4" s="5">
        <f t="shared" si="3"/>
        <v>1014.7567990237965</v>
      </c>
      <c r="Z4" s="3">
        <v>48.491521576842146</v>
      </c>
      <c r="AA4" s="5">
        <f t="shared" si="4"/>
        <v>1063.2483206006386</v>
      </c>
    </row>
    <row r="5" spans="1:27" x14ac:dyDescent="0.25">
      <c r="A5" s="2">
        <v>1983</v>
      </c>
      <c r="B5" s="5">
        <f t="shared" si="1"/>
        <v>119.28391784018748</v>
      </c>
      <c r="C5" s="3">
        <v>112.15524194742009</v>
      </c>
      <c r="D5" s="3">
        <v>7.1286758927673919</v>
      </c>
      <c r="E5" s="5">
        <f t="shared" si="0"/>
        <v>241.9231531207557</v>
      </c>
      <c r="F5" s="3">
        <v>153.10781771404672</v>
      </c>
      <c r="G5" s="3">
        <v>12.388706846747999</v>
      </c>
      <c r="H5" s="3">
        <v>6.4975451910691824</v>
      </c>
      <c r="I5" s="3">
        <v>69.92908336889181</v>
      </c>
      <c r="J5" s="5">
        <f t="shared" si="2"/>
        <v>654.91913973881503</v>
      </c>
      <c r="K5" s="3">
        <v>109.59790583791883</v>
      </c>
      <c r="L5" s="3">
        <v>29.478367813981219</v>
      </c>
      <c r="M5" s="3">
        <v>32.431980211445335</v>
      </c>
      <c r="N5" s="3">
        <v>19.677173721832506</v>
      </c>
      <c r="O5" s="3">
        <v>21.447213191292359</v>
      </c>
      <c r="P5">
        <v>84.392467302184627</v>
      </c>
      <c r="Q5">
        <v>14.920398972795256</v>
      </c>
      <c r="R5">
        <v>22.741453309554981</v>
      </c>
      <c r="S5">
        <v>107.78352219487644</v>
      </c>
      <c r="T5">
        <v>116.80528929326302</v>
      </c>
      <c r="U5">
        <v>20.631649022066028</v>
      </c>
      <c r="V5">
        <v>16.210007325602106</v>
      </c>
      <c r="W5">
        <v>41.043786004439774</v>
      </c>
      <c r="X5">
        <v>17.757925537562574</v>
      </c>
      <c r="Y5" s="5">
        <f t="shared" si="3"/>
        <v>1016.1262106997583</v>
      </c>
      <c r="Z5" s="3">
        <v>45.381326099999569</v>
      </c>
      <c r="AA5" s="5">
        <f t="shared" si="4"/>
        <v>1061.5075367997579</v>
      </c>
    </row>
    <row r="6" spans="1:27" x14ac:dyDescent="0.25">
      <c r="A6" s="2">
        <v>1984</v>
      </c>
      <c r="B6" s="5">
        <f t="shared" si="1"/>
        <v>122.1296600732544</v>
      </c>
      <c r="C6" s="3">
        <v>113.83021131405093</v>
      </c>
      <c r="D6" s="3">
        <v>8.2994487592034751</v>
      </c>
      <c r="E6" s="5">
        <f t="shared" si="0"/>
        <v>245.52404815591206</v>
      </c>
      <c r="F6" s="3">
        <v>140.02909979334802</v>
      </c>
      <c r="G6" s="3">
        <v>12.74582719250456</v>
      </c>
      <c r="H6" s="3">
        <v>6.6848452550635624</v>
      </c>
      <c r="I6" s="3">
        <v>86.064275914995932</v>
      </c>
      <c r="J6" s="5">
        <f t="shared" si="2"/>
        <v>677.03322757387639</v>
      </c>
      <c r="K6" s="3">
        <v>116.47301514873267</v>
      </c>
      <c r="L6" s="3">
        <v>31.283145568108562</v>
      </c>
      <c r="M6" s="3">
        <v>34.466447999995843</v>
      </c>
      <c r="N6" s="3">
        <v>20.881885109564738</v>
      </c>
      <c r="O6" s="3">
        <v>21.342316898185683</v>
      </c>
      <c r="P6">
        <v>84.71109158047588</v>
      </c>
      <c r="Q6">
        <v>14.976731030696842</v>
      </c>
      <c r="R6">
        <v>22.827313806109792</v>
      </c>
      <c r="S6">
        <v>111.095159922581</v>
      </c>
      <c r="T6">
        <v>120.39411989502827</v>
      </c>
      <c r="U6">
        <v>21.265554334259292</v>
      </c>
      <c r="V6">
        <v>16.708058147589284</v>
      </c>
      <c r="W6">
        <v>42.30485214379253</v>
      </c>
      <c r="X6">
        <v>18.303535988755979</v>
      </c>
      <c r="Y6" s="5">
        <f t="shared" si="3"/>
        <v>1044.6869358030428</v>
      </c>
      <c r="Z6" s="3">
        <v>47.099580267869342</v>
      </c>
      <c r="AA6" s="5">
        <f t="shared" si="4"/>
        <v>1091.7865160709123</v>
      </c>
    </row>
    <row r="7" spans="1:27" x14ac:dyDescent="0.25">
      <c r="A7" s="2">
        <v>1985</v>
      </c>
      <c r="B7" s="5">
        <f t="shared" si="1"/>
        <v>124.33962192220392</v>
      </c>
      <c r="C7" s="3">
        <v>114.68985205231701</v>
      </c>
      <c r="D7" s="3">
        <v>9.6497698698869083</v>
      </c>
      <c r="E7" s="5">
        <f t="shared" si="0"/>
        <v>244.76222427078557</v>
      </c>
      <c r="F7" s="3">
        <v>141.42939079128149</v>
      </c>
      <c r="G7" s="3">
        <v>13.582476271251256</v>
      </c>
      <c r="H7" s="3">
        <v>7.1236453062287115</v>
      </c>
      <c r="I7" s="3">
        <v>82.626711902024084</v>
      </c>
      <c r="J7" s="5">
        <f t="shared" si="2"/>
        <v>684.8970984175603</v>
      </c>
      <c r="K7" s="3">
        <v>109.9433190056192</v>
      </c>
      <c r="L7" s="3">
        <v>32.226716301814022</v>
      </c>
      <c r="M7" s="3">
        <v>32.534194144585605</v>
      </c>
      <c r="N7" s="3">
        <v>21.511730200145138</v>
      </c>
      <c r="O7" s="3">
        <v>22.489934772877906</v>
      </c>
      <c r="P7">
        <v>86.577329432733592</v>
      </c>
      <c r="Q7">
        <v>15.306677698023355</v>
      </c>
      <c r="R7">
        <v>23.330213677844487</v>
      </c>
      <c r="S7">
        <v>114.76579370115729</v>
      </c>
      <c r="T7">
        <v>124.37199547067546</v>
      </c>
      <c r="U7">
        <v>21.968177761903465</v>
      </c>
      <c r="V7">
        <v>17.260099862581157</v>
      </c>
      <c r="W7">
        <v>43.702623382295577</v>
      </c>
      <c r="X7">
        <v>18.908293005304081</v>
      </c>
      <c r="Y7" s="5">
        <f t="shared" si="3"/>
        <v>1053.9989446105496</v>
      </c>
      <c r="Z7" s="3">
        <v>49.733786810236062</v>
      </c>
      <c r="AA7" s="5">
        <f t="shared" si="4"/>
        <v>1103.7327314207857</v>
      </c>
    </row>
    <row r="8" spans="1:27" x14ac:dyDescent="0.25">
      <c r="A8" s="2">
        <v>1986</v>
      </c>
      <c r="B8" s="5">
        <f t="shared" si="1"/>
        <v>120.26755386096886</v>
      </c>
      <c r="C8" s="3">
        <v>109.05949323160353</v>
      </c>
      <c r="D8" s="3">
        <v>11.208060629365331</v>
      </c>
      <c r="E8" s="5">
        <f t="shared" si="0"/>
        <v>251.94245410871395</v>
      </c>
      <c r="F8" s="3">
        <v>145.04214156594986</v>
      </c>
      <c r="G8" s="3">
        <v>14.649225987649876</v>
      </c>
      <c r="H8" s="3">
        <v>7.6831269838244403</v>
      </c>
      <c r="I8" s="3">
        <v>84.567959571289762</v>
      </c>
      <c r="J8" s="5">
        <f t="shared" si="2"/>
        <v>713.00952686036578</v>
      </c>
      <c r="K8" s="3">
        <v>120.80172441450212</v>
      </c>
      <c r="L8" s="3">
        <v>35.874791805230174</v>
      </c>
      <c r="M8" s="3">
        <v>35.747390479463945</v>
      </c>
      <c r="N8" s="3">
        <v>23.946865546988704</v>
      </c>
      <c r="O8" s="3">
        <v>23.632883766576231</v>
      </c>
      <c r="P8">
        <v>88.400048765175995</v>
      </c>
      <c r="Q8">
        <v>15.628930388634803</v>
      </c>
      <c r="R8">
        <v>23.821386503100765</v>
      </c>
      <c r="S8">
        <v>116.17219770569606</v>
      </c>
      <c r="T8">
        <v>125.89611922603333</v>
      </c>
      <c r="U8">
        <v>22.237388056890946</v>
      </c>
      <c r="V8">
        <v>17.471614746786837</v>
      </c>
      <c r="W8">
        <v>44.238179688330085</v>
      </c>
      <c r="X8">
        <v>19.140005766955845</v>
      </c>
      <c r="Y8" s="5">
        <f t="shared" si="3"/>
        <v>1085.2195348300486</v>
      </c>
      <c r="Z8" s="3">
        <v>57.541245196831198</v>
      </c>
      <c r="AA8" s="5">
        <f t="shared" si="4"/>
        <v>1142.7607800268797</v>
      </c>
    </row>
    <row r="9" spans="1:27" x14ac:dyDescent="0.25">
      <c r="A9" s="2">
        <v>1987</v>
      </c>
      <c r="B9" s="5">
        <f t="shared" si="1"/>
        <v>141.24803529109246</v>
      </c>
      <c r="C9" s="3">
        <v>128.18519385308016</v>
      </c>
      <c r="D9" s="3">
        <v>13.06284143801229</v>
      </c>
      <c r="E9" s="5">
        <f t="shared" si="0"/>
        <v>282.70450114021008</v>
      </c>
      <c r="F9" s="3">
        <v>154.84417855148425</v>
      </c>
      <c r="G9" s="3">
        <v>15.636677550845057</v>
      </c>
      <c r="H9" s="3">
        <v>8.2010189022644013</v>
      </c>
      <c r="I9" s="3">
        <v>104.02262613561639</v>
      </c>
      <c r="J9" s="5">
        <f t="shared" si="2"/>
        <v>771.07939454266261</v>
      </c>
      <c r="K9" s="3">
        <v>138.82877486480885</v>
      </c>
      <c r="L9" s="3">
        <v>39.620655923662468</v>
      </c>
      <c r="M9" s="3">
        <v>41.081917074704748</v>
      </c>
      <c r="N9" s="3">
        <v>26.447275999219116</v>
      </c>
      <c r="O9" s="3">
        <v>27.272049867784823</v>
      </c>
      <c r="P9">
        <v>93.204325862269172</v>
      </c>
      <c r="Q9">
        <v>16.478315806030192</v>
      </c>
      <c r="R9">
        <v>25.116007300221135</v>
      </c>
      <c r="S9">
        <v>122.18840680541754</v>
      </c>
      <c r="T9">
        <v>132.41590100743753</v>
      </c>
      <c r="U9">
        <v>23.388995575936317</v>
      </c>
      <c r="V9">
        <v>18.376417184050993</v>
      </c>
      <c r="W9">
        <v>46.529142108360091</v>
      </c>
      <c r="X9">
        <v>20.131209162759685</v>
      </c>
      <c r="Y9" s="5">
        <f t="shared" si="3"/>
        <v>1195.0319309739652</v>
      </c>
      <c r="Z9" s="3">
        <v>61.579425046550142</v>
      </c>
      <c r="AA9" s="5">
        <f t="shared" si="4"/>
        <v>1256.6113560205154</v>
      </c>
    </row>
    <row r="10" spans="1:27" x14ac:dyDescent="0.25">
      <c r="A10" s="2">
        <v>1988</v>
      </c>
      <c r="B10" s="5">
        <f t="shared" si="1"/>
        <v>143.47864632887146</v>
      </c>
      <c r="C10" s="3">
        <v>128.27971596485801</v>
      </c>
      <c r="D10" s="3">
        <v>15.198930364013448</v>
      </c>
      <c r="E10" s="5">
        <f t="shared" si="0"/>
        <v>304.32009588155211</v>
      </c>
      <c r="F10" s="3">
        <v>153.9059835828688</v>
      </c>
      <c r="G10" s="3">
        <v>17.327258150917547</v>
      </c>
      <c r="H10" s="3">
        <v>9.0876831832098564</v>
      </c>
      <c r="I10" s="3">
        <v>123.99917096455589</v>
      </c>
      <c r="J10" s="5">
        <f t="shared" si="2"/>
        <v>828.83198407229963</v>
      </c>
      <c r="K10" s="3">
        <v>159.63059971378493</v>
      </c>
      <c r="L10" s="3">
        <v>49.374807299764605</v>
      </c>
      <c r="M10" s="3">
        <v>47.237549034147982</v>
      </c>
      <c r="N10" s="3">
        <v>32.958292224669066</v>
      </c>
      <c r="O10" s="3">
        <v>30.705745465203552</v>
      </c>
      <c r="P10">
        <v>99.056427452397159</v>
      </c>
      <c r="Q10">
        <v>17.512954244095848</v>
      </c>
      <c r="R10">
        <v>26.692988034747223</v>
      </c>
      <c r="S10">
        <v>123.07446821936692</v>
      </c>
      <c r="T10">
        <v>133.37612811525861</v>
      </c>
      <c r="U10">
        <v>23.558603209202808</v>
      </c>
      <c r="V10">
        <v>18.509675605362222</v>
      </c>
      <c r="W10">
        <v>46.866552821244163</v>
      </c>
      <c r="X10">
        <v>20.277192633054632</v>
      </c>
      <c r="Y10" s="5">
        <f t="shared" si="3"/>
        <v>1276.6307262827231</v>
      </c>
      <c r="Z10" s="3">
        <v>79.238862534077199</v>
      </c>
      <c r="AA10" s="5">
        <f t="shared" si="4"/>
        <v>1355.8695888168004</v>
      </c>
    </row>
    <row r="11" spans="1:27" x14ac:dyDescent="0.25">
      <c r="A11" s="2">
        <v>1989</v>
      </c>
      <c r="B11" s="5">
        <f t="shared" si="1"/>
        <v>156.68384955577619</v>
      </c>
      <c r="C11" s="3">
        <v>136.28670105779813</v>
      </c>
      <c r="D11" s="3">
        <v>20.397148497978066</v>
      </c>
      <c r="E11" s="5">
        <f t="shared" si="0"/>
        <v>358.19482046425367</v>
      </c>
      <c r="F11" s="3">
        <v>170.77949010796726</v>
      </c>
      <c r="G11" s="3">
        <v>18.480875755928967</v>
      </c>
      <c r="H11" s="3">
        <v>9.6927247436001789</v>
      </c>
      <c r="I11" s="3">
        <v>159.2417298567573</v>
      </c>
      <c r="J11" s="5">
        <f t="shared" si="2"/>
        <v>928.71959851833287</v>
      </c>
      <c r="K11" s="3">
        <v>196.35878134975354</v>
      </c>
      <c r="L11" s="3">
        <v>61.994919552358617</v>
      </c>
      <c r="M11" s="3">
        <v>58.106074768405051</v>
      </c>
      <c r="N11" s="3">
        <v>41.382372646975902</v>
      </c>
      <c r="O11" s="3">
        <v>32.299788926591845</v>
      </c>
      <c r="P11">
        <v>108.12043270415533</v>
      </c>
      <c r="Q11">
        <v>19.115450046991313</v>
      </c>
      <c r="R11">
        <v>29.135488637227933</v>
      </c>
      <c r="S11">
        <v>128.64272481602453</v>
      </c>
      <c r="T11">
        <v>139.41046257925731</v>
      </c>
      <c r="U11">
        <v>24.624464793864444</v>
      </c>
      <c r="V11">
        <v>19.347108622808584</v>
      </c>
      <c r="W11">
        <v>48.986935673066469</v>
      </c>
      <c r="X11">
        <v>21.194593400852032</v>
      </c>
      <c r="Y11" s="5">
        <f t="shared" si="3"/>
        <v>1443.5982685383628</v>
      </c>
      <c r="Z11" s="3">
        <v>88.923741794285718</v>
      </c>
      <c r="AA11" s="5">
        <f t="shared" si="4"/>
        <v>1532.5220103326485</v>
      </c>
    </row>
    <row r="12" spans="1:27" x14ac:dyDescent="0.25">
      <c r="A12" s="2">
        <v>1990</v>
      </c>
      <c r="B12" s="5">
        <f t="shared" si="1"/>
        <v>178.95499718476464</v>
      </c>
      <c r="C12" s="3">
        <v>151.58785596147678</v>
      </c>
      <c r="D12" s="3">
        <v>27.367141223287859</v>
      </c>
      <c r="E12" s="5">
        <f t="shared" si="0"/>
        <v>394.98282652148794</v>
      </c>
      <c r="F12" s="3">
        <v>188.04182443855601</v>
      </c>
      <c r="G12" s="3">
        <v>20.700251627275456</v>
      </c>
      <c r="H12" s="3">
        <v>10.818705719639558</v>
      </c>
      <c r="I12" s="3">
        <v>175.42204473601691</v>
      </c>
      <c r="J12" s="5">
        <f t="shared" si="2"/>
        <v>1005.0261011833746</v>
      </c>
      <c r="K12" s="3">
        <v>222.2559427941836</v>
      </c>
      <c r="L12" s="3">
        <v>68.46529577290525</v>
      </c>
      <c r="M12" s="3">
        <v>65.790087310911048</v>
      </c>
      <c r="N12" s="3">
        <v>46.459498553382232</v>
      </c>
      <c r="O12" s="3">
        <v>35.332067829088572</v>
      </c>
      <c r="P12">
        <v>113.66180902987774</v>
      </c>
      <c r="Q12">
        <v>20.464707321547799</v>
      </c>
      <c r="R12">
        <v>31.227838356647283</v>
      </c>
      <c r="S12">
        <v>135.4231565403044</v>
      </c>
      <c r="T12">
        <v>146.75843444879581</v>
      </c>
      <c r="U12">
        <v>25.922357873480973</v>
      </c>
      <c r="V12">
        <v>20.242693218711576</v>
      </c>
      <c r="W12">
        <v>51.169495215531484</v>
      </c>
      <c r="X12">
        <v>21.852716918006728</v>
      </c>
      <c r="Y12" s="5">
        <f t="shared" si="3"/>
        <v>1578.9639248896272</v>
      </c>
      <c r="Z12" s="3">
        <v>105.14950789441443</v>
      </c>
      <c r="AA12" s="5">
        <f t="shared" si="4"/>
        <v>1684.1134327840416</v>
      </c>
    </row>
    <row r="13" spans="1:27" x14ac:dyDescent="0.25">
      <c r="A13" s="2">
        <v>1991</v>
      </c>
      <c r="B13" s="5">
        <f t="shared" si="1"/>
        <v>197.06352820712365</v>
      </c>
      <c r="C13" s="3">
        <v>158.33842515845521</v>
      </c>
      <c r="D13" s="3">
        <v>38.725103048668444</v>
      </c>
      <c r="E13" s="5">
        <f t="shared" si="0"/>
        <v>419.19359123661928</v>
      </c>
      <c r="F13" s="3">
        <v>195.47109389103051</v>
      </c>
      <c r="G13" s="3">
        <v>23.085912747501162</v>
      </c>
      <c r="H13" s="3">
        <v>12.353928262121778</v>
      </c>
      <c r="I13" s="3">
        <v>188.28265633596584</v>
      </c>
      <c r="J13" s="5">
        <f t="shared" si="2"/>
        <v>1073.6301848345565</v>
      </c>
      <c r="K13" s="3">
        <v>235.35330575024631</v>
      </c>
      <c r="L13" s="3">
        <v>74.512307550342527</v>
      </c>
      <c r="M13" s="3">
        <v>85.338557337430302</v>
      </c>
      <c r="N13" s="3">
        <v>48.291729795444461</v>
      </c>
      <c r="O13" s="3">
        <v>45.430336852409653</v>
      </c>
      <c r="P13">
        <v>120.0325008674792</v>
      </c>
      <c r="Q13">
        <v>21.57940231365653</v>
      </c>
      <c r="R13">
        <v>31.873639040236561</v>
      </c>
      <c r="S13">
        <v>138.95901576767659</v>
      </c>
      <c r="T13">
        <v>152.89488236726351</v>
      </c>
      <c r="U13">
        <v>26.554055732092475</v>
      </c>
      <c r="V13">
        <v>21.635811379235427</v>
      </c>
      <c r="W13">
        <v>49.18595999883977</v>
      </c>
      <c r="X13">
        <v>21.98868008220327</v>
      </c>
      <c r="Y13" s="5">
        <f t="shared" si="3"/>
        <v>1689.8873042782996</v>
      </c>
      <c r="Z13" s="3">
        <v>168.23921263106308</v>
      </c>
      <c r="AA13" s="5">
        <f t="shared" si="4"/>
        <v>1858.1265169093626</v>
      </c>
    </row>
    <row r="14" spans="1:27" x14ac:dyDescent="0.25">
      <c r="A14" s="2">
        <v>1992</v>
      </c>
      <c r="B14" s="5">
        <f t="shared" si="1"/>
        <v>216.13975892616389</v>
      </c>
      <c r="C14" s="3">
        <v>178.63511732180075</v>
      </c>
      <c r="D14" s="3">
        <v>37.504641604363144</v>
      </c>
      <c r="E14" s="5">
        <f>SUM(F14:I14)</f>
        <v>468.59692930366833</v>
      </c>
      <c r="F14" s="3">
        <v>217.45938165897553</v>
      </c>
      <c r="G14" s="3">
        <v>25.97173901437834</v>
      </c>
      <c r="H14" s="3">
        <v>12.1891159638653</v>
      </c>
      <c r="I14" s="3">
        <v>212.97669266644917</v>
      </c>
      <c r="J14" s="5">
        <f t="shared" si="2"/>
        <v>1206.3432662811967</v>
      </c>
      <c r="K14" s="3">
        <v>284.70113000772591</v>
      </c>
      <c r="L14" s="3">
        <v>77.699063596344402</v>
      </c>
      <c r="M14" s="3">
        <v>103.06369539073756</v>
      </c>
      <c r="N14" s="3">
        <v>55.602786977899854</v>
      </c>
      <c r="O14" s="3">
        <v>58.15269282168029</v>
      </c>
      <c r="P14">
        <v>123.42333406089431</v>
      </c>
      <c r="Q14">
        <v>24.977534105925947</v>
      </c>
      <c r="R14">
        <v>42.016941135993321</v>
      </c>
      <c r="S14">
        <v>159.47763206612126</v>
      </c>
      <c r="T14">
        <v>156.73829012187838</v>
      </c>
      <c r="U14">
        <v>27.115931167129219</v>
      </c>
      <c r="V14">
        <v>24.777561547163437</v>
      </c>
      <c r="W14">
        <v>46.472030035303064</v>
      </c>
      <c r="X14">
        <v>22.124643246399813</v>
      </c>
      <c r="Y14" s="5">
        <f t="shared" si="3"/>
        <v>1891.079954511029</v>
      </c>
      <c r="Z14" s="3">
        <v>188.42791814679066</v>
      </c>
      <c r="AA14" s="5">
        <f t="shared" si="4"/>
        <v>2079.5078726578195</v>
      </c>
    </row>
    <row r="15" spans="1:27" x14ac:dyDescent="0.25">
      <c r="A15" s="2">
        <v>1993</v>
      </c>
      <c r="B15" s="5">
        <f t="shared" si="1"/>
        <v>227.27619541961624</v>
      </c>
      <c r="C15" s="3">
        <v>187.69281008461402</v>
      </c>
      <c r="D15" s="3">
        <v>39.583385335002212</v>
      </c>
      <c r="E15" s="5">
        <f t="shared" ref="E15:E46" si="5">SUM(F15:I15)</f>
        <v>511.6676419618999</v>
      </c>
      <c r="F15" s="3">
        <v>223.30710683611392</v>
      </c>
      <c r="G15" s="3">
        <v>31.382124673322664</v>
      </c>
      <c r="H15" s="3">
        <v>12.303558750332492</v>
      </c>
      <c r="I15" s="3">
        <v>244.67485170213078</v>
      </c>
      <c r="J15" s="5">
        <f t="shared" si="2"/>
        <v>1269.4371658429511</v>
      </c>
      <c r="K15" s="3">
        <v>296.2059865867659</v>
      </c>
      <c r="L15" s="3">
        <v>81.034041914225568</v>
      </c>
      <c r="M15" s="3">
        <v>108.89199128250705</v>
      </c>
      <c r="N15" s="3">
        <v>60.227787880058983</v>
      </c>
      <c r="O15" s="3">
        <v>66.200109018475956</v>
      </c>
      <c r="P15">
        <v>127.92124619332195</v>
      </c>
      <c r="Q15">
        <v>26.378224419641736</v>
      </c>
      <c r="R15">
        <v>43.872837787972479</v>
      </c>
      <c r="S15">
        <v>173.56915944224912</v>
      </c>
      <c r="T15">
        <v>162.2069006858186</v>
      </c>
      <c r="U15">
        <v>27.923409844205928</v>
      </c>
      <c r="V15">
        <v>25.410854518068064</v>
      </c>
      <c r="W15">
        <v>47.334009859043391</v>
      </c>
      <c r="X15">
        <v>22.260606410596392</v>
      </c>
      <c r="Y15" s="5">
        <f t="shared" si="3"/>
        <v>2008.3810032244673</v>
      </c>
      <c r="Z15" s="3">
        <v>196.35384227375664</v>
      </c>
      <c r="AA15" s="5">
        <f t="shared" si="4"/>
        <v>2204.7348454982239</v>
      </c>
    </row>
    <row r="16" spans="1:27" x14ac:dyDescent="0.25">
      <c r="A16" s="2">
        <v>1994</v>
      </c>
      <c r="B16" s="5">
        <f t="shared" si="1"/>
        <v>230.52731312523855</v>
      </c>
      <c r="C16" s="3">
        <v>194.69111075995716</v>
      </c>
      <c r="D16" s="3">
        <v>35.836202365281409</v>
      </c>
      <c r="E16" s="5">
        <f t="shared" si="5"/>
        <v>456.38031460579589</v>
      </c>
      <c r="F16" s="3">
        <v>217.0078470179181</v>
      </c>
      <c r="G16" s="3">
        <v>33.882787620522528</v>
      </c>
      <c r="H16" s="3">
        <v>13.161311000679888</v>
      </c>
      <c r="I16" s="3">
        <v>192.32836896667541</v>
      </c>
      <c r="J16" s="5">
        <f t="shared" si="2"/>
        <v>1303.5720483845485</v>
      </c>
      <c r="K16" s="3">
        <v>286.57335815593518</v>
      </c>
      <c r="L16" s="3">
        <v>87.227272233123813</v>
      </c>
      <c r="M16" s="3">
        <v>110.22596848002541</v>
      </c>
      <c r="N16" s="3">
        <v>68.675662347383849</v>
      </c>
      <c r="O16" s="3">
        <v>65.297704742861029</v>
      </c>
      <c r="P16">
        <v>131.62114734586422</v>
      </c>
      <c r="Q16">
        <v>24.595741548110741</v>
      </c>
      <c r="R16">
        <v>52.630219601103825</v>
      </c>
      <c r="S16">
        <v>183.74189939891934</v>
      </c>
      <c r="T16">
        <v>167.88509575347183</v>
      </c>
      <c r="U16">
        <v>28.743355305485156</v>
      </c>
      <c r="V16">
        <v>26.848776086802335</v>
      </c>
      <c r="W16">
        <v>47.109277810668615</v>
      </c>
      <c r="X16">
        <v>22.396569574792931</v>
      </c>
      <c r="Y16" s="5">
        <f t="shared" si="3"/>
        <v>1990.4796761155828</v>
      </c>
      <c r="Z16" s="3">
        <v>189.06684124229147</v>
      </c>
      <c r="AA16" s="5">
        <f t="shared" si="4"/>
        <v>2179.5465173578741</v>
      </c>
    </row>
    <row r="17" spans="1:27" x14ac:dyDescent="0.25">
      <c r="A17" s="2">
        <v>1995</v>
      </c>
      <c r="B17" s="5">
        <f t="shared" si="1"/>
        <v>233.22224872333177</v>
      </c>
      <c r="C17" s="3">
        <v>194.46438187992291</v>
      </c>
      <c r="D17" s="3">
        <v>38.757866843408863</v>
      </c>
      <c r="E17" s="5">
        <f t="shared" si="5"/>
        <v>451.12928202457647</v>
      </c>
      <c r="F17" s="3">
        <v>208.96503396567371</v>
      </c>
      <c r="G17" s="3">
        <v>36.670822830943926</v>
      </c>
      <c r="H17" s="3">
        <v>13.391648864236457</v>
      </c>
      <c r="I17" s="3">
        <v>192.10177636372234</v>
      </c>
      <c r="J17" s="5">
        <f t="shared" si="2"/>
        <v>1314.3697333589869</v>
      </c>
      <c r="K17" s="3">
        <v>288.75195751476184</v>
      </c>
      <c r="L17" s="3">
        <v>91.327666187943365</v>
      </c>
      <c r="M17" s="3">
        <v>107.72407686849893</v>
      </c>
      <c r="N17" s="3">
        <v>62.925023130220737</v>
      </c>
      <c r="O17" s="3">
        <v>67.28110261529541</v>
      </c>
      <c r="P17">
        <v>135.76019291630209</v>
      </c>
      <c r="Q17">
        <v>31.022914271179868</v>
      </c>
      <c r="R17">
        <v>52.943301371675453</v>
      </c>
      <c r="S17">
        <v>177.677114988228</v>
      </c>
      <c r="T17">
        <v>171.27714272547578</v>
      </c>
      <c r="U17">
        <v>29.491125399466529</v>
      </c>
      <c r="V17">
        <v>26.975144888968376</v>
      </c>
      <c r="W17">
        <v>48.68043774198118</v>
      </c>
      <c r="X17">
        <v>22.53253273898947</v>
      </c>
      <c r="Y17" s="5">
        <f t="shared" si="3"/>
        <v>1998.7212641068952</v>
      </c>
      <c r="Z17" s="3">
        <v>193.24650240419052</v>
      </c>
      <c r="AA17" s="5">
        <f t="shared" si="4"/>
        <v>2191.9677665110858</v>
      </c>
    </row>
    <row r="18" spans="1:27" x14ac:dyDescent="0.25">
      <c r="A18" s="2">
        <v>1996</v>
      </c>
      <c r="B18" s="5">
        <f t="shared" si="1"/>
        <v>246.10953047055818</v>
      </c>
      <c r="C18" s="3">
        <v>208.81972765902765</v>
      </c>
      <c r="D18" s="3">
        <v>37.289802811530535</v>
      </c>
      <c r="E18" s="5">
        <f t="shared" si="5"/>
        <v>446.09140661467779</v>
      </c>
      <c r="F18" s="3">
        <v>211.21799115870169</v>
      </c>
      <c r="G18" s="3">
        <v>33.83837952605289</v>
      </c>
      <c r="H18" s="3">
        <v>13.727711602080312</v>
      </c>
      <c r="I18" s="3">
        <v>187.30732432784291</v>
      </c>
      <c r="J18" s="5">
        <f t="shared" si="2"/>
        <v>1329.6944181050173</v>
      </c>
      <c r="K18" s="3">
        <v>299.31596059389415</v>
      </c>
      <c r="L18" s="3">
        <v>88.234984263768865</v>
      </c>
      <c r="M18" s="3">
        <v>106.93857730143036</v>
      </c>
      <c r="N18" s="3">
        <v>71.126879431080141</v>
      </c>
      <c r="O18" s="3">
        <v>65.236023127995537</v>
      </c>
      <c r="P18">
        <v>139.63140566531106</v>
      </c>
      <c r="Q18">
        <v>25.504871583802874</v>
      </c>
      <c r="R18">
        <v>53.70454935267265</v>
      </c>
      <c r="S18">
        <v>175.37252811100367</v>
      </c>
      <c r="T18">
        <v>173.65560337396718</v>
      </c>
      <c r="U18">
        <v>30.236763090452509</v>
      </c>
      <c r="V18">
        <v>27.251132487265991</v>
      </c>
      <c r="W18">
        <v>50.816643819186233</v>
      </c>
      <c r="X18">
        <v>22.668495903186017</v>
      </c>
      <c r="Y18" s="5">
        <f t="shared" si="3"/>
        <v>2021.8953551902532</v>
      </c>
      <c r="Z18" s="3">
        <v>196.00489983786829</v>
      </c>
      <c r="AA18" s="5">
        <f t="shared" si="4"/>
        <v>2217.9002550281216</v>
      </c>
    </row>
    <row r="19" spans="1:27" x14ac:dyDescent="0.25">
      <c r="A19" s="2">
        <v>1997</v>
      </c>
      <c r="B19" s="5">
        <f t="shared" si="1"/>
        <v>258.61375100669329</v>
      </c>
      <c r="C19" s="3">
        <v>222.68651251773272</v>
      </c>
      <c r="D19" s="3">
        <v>35.92723848896059</v>
      </c>
      <c r="E19" s="5">
        <f t="shared" si="5"/>
        <v>450.83542284048684</v>
      </c>
      <c r="F19" s="3">
        <v>224.86823506207159</v>
      </c>
      <c r="G19" s="3">
        <v>35.114083095334976</v>
      </c>
      <c r="H19" s="3">
        <v>14.876774264789935</v>
      </c>
      <c r="I19" s="3">
        <v>175.97633041829033</v>
      </c>
      <c r="J19" s="5">
        <f t="shared" si="2"/>
        <v>1383.3777207721776</v>
      </c>
      <c r="K19" s="3">
        <v>329.58319637552734</v>
      </c>
      <c r="L19" s="3">
        <v>91.983271469281519</v>
      </c>
      <c r="M19" s="3">
        <v>104.09960650861807</v>
      </c>
      <c r="N19" s="3">
        <v>76.164167335569829</v>
      </c>
      <c r="O19" s="3">
        <v>67.416584801500406</v>
      </c>
      <c r="P19">
        <v>144.79774468751944</v>
      </c>
      <c r="Q19">
        <v>25.823970769015865</v>
      </c>
      <c r="R19">
        <v>58.789307340683671</v>
      </c>
      <c r="S19">
        <v>176.67424571569461</v>
      </c>
      <c r="T19">
        <v>174.7451005674167</v>
      </c>
      <c r="U19">
        <v>31.294142033464944</v>
      </c>
      <c r="V19">
        <v>28.698002950106364</v>
      </c>
      <c r="W19">
        <v>50.503921150395769</v>
      </c>
      <c r="X19">
        <v>22.804459067382556</v>
      </c>
      <c r="Y19" s="5">
        <f t="shared" si="3"/>
        <v>2092.8268946193575</v>
      </c>
      <c r="Z19" s="3">
        <v>205.83790645802554</v>
      </c>
      <c r="AA19" s="5">
        <f t="shared" si="4"/>
        <v>2298.6648010773829</v>
      </c>
    </row>
    <row r="20" spans="1:27" x14ac:dyDescent="0.25">
      <c r="A20" s="2">
        <v>1998</v>
      </c>
      <c r="B20" s="5">
        <f t="shared" si="1"/>
        <v>264.45922815343181</v>
      </c>
      <c r="C20" s="3">
        <v>227.35602946300727</v>
      </c>
      <c r="D20" s="3">
        <v>37.10319869042452</v>
      </c>
      <c r="E20" s="5">
        <f t="shared" si="5"/>
        <v>435.50138044769938</v>
      </c>
      <c r="F20" s="3">
        <v>214.7746989809776</v>
      </c>
      <c r="G20" s="3">
        <v>34.766297249218347</v>
      </c>
      <c r="H20" s="3">
        <v>15.970912316612951</v>
      </c>
      <c r="I20" s="3">
        <v>169.98947190089049</v>
      </c>
      <c r="J20" s="5">
        <f t="shared" si="2"/>
        <v>1476.6082299008897</v>
      </c>
      <c r="K20" s="3">
        <v>357.00150869915001</v>
      </c>
      <c r="L20" s="3">
        <v>94.824806565803044</v>
      </c>
      <c r="M20" s="3">
        <v>121.77636046446818</v>
      </c>
      <c r="N20" s="3">
        <v>81.414906060062449</v>
      </c>
      <c r="O20" s="3">
        <v>75.079844773593791</v>
      </c>
      <c r="P20">
        <v>149.85745168325644</v>
      </c>
      <c r="Q20">
        <v>22.396923554574158</v>
      </c>
      <c r="R20">
        <v>74.922486186472952</v>
      </c>
      <c r="S20">
        <v>187.14074708696384</v>
      </c>
      <c r="T20">
        <v>177.59566908564162</v>
      </c>
      <c r="U20">
        <v>32.353153724086098</v>
      </c>
      <c r="V20">
        <v>31.864085873998128</v>
      </c>
      <c r="W20">
        <v>47.439863911239804</v>
      </c>
      <c r="X20">
        <v>22.940422231579099</v>
      </c>
      <c r="Y20" s="5">
        <f t="shared" si="3"/>
        <v>2176.5688385020208</v>
      </c>
      <c r="Z20" s="3">
        <v>220.47313516827873</v>
      </c>
      <c r="AA20" s="5">
        <f t="shared" si="4"/>
        <v>2397.0419736702993</v>
      </c>
    </row>
    <row r="21" spans="1:27" x14ac:dyDescent="0.25">
      <c r="A21" s="2">
        <v>1999</v>
      </c>
      <c r="B21" s="5">
        <f t="shared" si="1"/>
        <v>291.88719891948836</v>
      </c>
      <c r="C21" s="3">
        <v>252.22366002904184</v>
      </c>
      <c r="D21" s="3">
        <v>39.663538890446539</v>
      </c>
      <c r="E21" s="5">
        <f t="shared" si="5"/>
        <v>478.29082231013001</v>
      </c>
      <c r="F21" s="3">
        <v>224.13423753630335</v>
      </c>
      <c r="G21" s="3">
        <v>38.211658366988878</v>
      </c>
      <c r="H21" s="3">
        <v>16.45853811660432</v>
      </c>
      <c r="I21" s="3">
        <v>199.48638829023352</v>
      </c>
      <c r="J21" s="5">
        <f t="shared" si="2"/>
        <v>1600.488054268495</v>
      </c>
      <c r="K21" s="3">
        <v>408.94122543142095</v>
      </c>
      <c r="L21" s="3">
        <v>106.86530100939098</v>
      </c>
      <c r="M21" s="3">
        <v>136.64470644918151</v>
      </c>
      <c r="N21" s="3">
        <v>89.896891336755047</v>
      </c>
      <c r="O21" s="3">
        <v>88.08498555675294</v>
      </c>
      <c r="P21">
        <v>155.35540104803988</v>
      </c>
      <c r="Q21">
        <v>28.177420537040785</v>
      </c>
      <c r="R21">
        <v>76.731536449104027</v>
      </c>
      <c r="S21">
        <v>191.14978324249034</v>
      </c>
      <c r="T21">
        <v>182.17429925693921</v>
      </c>
      <c r="U21">
        <v>33.106437989535358</v>
      </c>
      <c r="V21">
        <v>32.522733968921223</v>
      </c>
      <c r="W21">
        <v>47.760946597147026</v>
      </c>
      <c r="X21">
        <v>23.076385395775645</v>
      </c>
      <c r="Y21" s="5">
        <f t="shared" si="3"/>
        <v>2370.6660754981131</v>
      </c>
      <c r="Z21" s="3">
        <v>240.70547404517194</v>
      </c>
      <c r="AA21" s="5">
        <f t="shared" si="4"/>
        <v>2611.3715495432848</v>
      </c>
    </row>
    <row r="22" spans="1:27" x14ac:dyDescent="0.25">
      <c r="A22" s="2">
        <v>2000</v>
      </c>
      <c r="B22" s="5">
        <f t="shared" si="1"/>
        <v>330.69338814717429</v>
      </c>
      <c r="C22" s="3">
        <v>281.49759163003557</v>
      </c>
      <c r="D22" s="3">
        <v>49.195796517138696</v>
      </c>
      <c r="E22" s="5">
        <f t="shared" si="5"/>
        <v>619.12895543752165</v>
      </c>
      <c r="F22" s="3">
        <v>276.98223951887695</v>
      </c>
      <c r="G22" s="3">
        <v>42.460323871869214</v>
      </c>
      <c r="H22" s="3">
        <v>17.469035212212532</v>
      </c>
      <c r="I22" s="3">
        <v>282.21735683456296</v>
      </c>
      <c r="J22" s="5">
        <f t="shared" si="2"/>
        <v>1740.4367507680945</v>
      </c>
      <c r="K22" s="3">
        <v>443.21783613731003</v>
      </c>
      <c r="L22" s="3">
        <v>117.59573645274294</v>
      </c>
      <c r="M22" s="3">
        <v>151.3346539331516</v>
      </c>
      <c r="N22" s="3">
        <v>104.32595128846448</v>
      </c>
      <c r="O22" s="3">
        <v>129.62012742947343</v>
      </c>
      <c r="P22">
        <v>161.01738472170805</v>
      </c>
      <c r="Q22">
        <v>23.549573815470239</v>
      </c>
      <c r="R22">
        <v>83.287141855624284</v>
      </c>
      <c r="S22">
        <v>203.1225253554546</v>
      </c>
      <c r="T22">
        <v>184.89830046362803</v>
      </c>
      <c r="U22">
        <v>33.746859437625709</v>
      </c>
      <c r="V22">
        <v>33.644244237623091</v>
      </c>
      <c r="W22">
        <v>47.864067079846123</v>
      </c>
      <c r="X22">
        <v>23.212348559972153</v>
      </c>
      <c r="Y22" s="5">
        <f t="shared" si="3"/>
        <v>2690.2590943527903</v>
      </c>
      <c r="Z22" s="3">
        <v>257.67638288599278</v>
      </c>
      <c r="AA22" s="5">
        <f t="shared" si="4"/>
        <v>2947.9354772387833</v>
      </c>
    </row>
    <row r="23" spans="1:27" x14ac:dyDescent="0.25">
      <c r="A23" s="2">
        <v>2001</v>
      </c>
      <c r="B23" s="5">
        <f t="shared" si="1"/>
        <v>328.18642572075578</v>
      </c>
      <c r="C23" s="3">
        <v>277.7440867907975</v>
      </c>
      <c r="D23" s="3">
        <v>50.442338929958275</v>
      </c>
      <c r="E23" s="5">
        <f t="shared" si="5"/>
        <v>608.83012241177471</v>
      </c>
      <c r="F23" s="3">
        <v>271.39258418015703</v>
      </c>
      <c r="G23" s="3">
        <v>41.563374579336809</v>
      </c>
      <c r="H23" s="3">
        <v>17.73371658207558</v>
      </c>
      <c r="I23" s="3">
        <v>278.14044707020525</v>
      </c>
      <c r="J23" s="5">
        <f t="shared" si="2"/>
        <v>1821.1329092878689</v>
      </c>
      <c r="K23" s="3">
        <v>473.73447724187935</v>
      </c>
      <c r="L23" s="3">
        <v>119.13500227116774</v>
      </c>
      <c r="M23" s="3">
        <v>169.54381221004485</v>
      </c>
      <c r="N23" s="3">
        <v>123.8819035092698</v>
      </c>
      <c r="O23" s="3">
        <v>128.21496920711277</v>
      </c>
      <c r="P23">
        <v>164.07518922981174</v>
      </c>
      <c r="Q23">
        <v>31.518372684939674</v>
      </c>
      <c r="R23">
        <v>72.848415122619485</v>
      </c>
      <c r="S23">
        <v>213.65370697667203</v>
      </c>
      <c r="T23">
        <v>184.67650046733567</v>
      </c>
      <c r="U23">
        <v>34.083219192142472</v>
      </c>
      <c r="V23">
        <v>33.350999674824585</v>
      </c>
      <c r="W23">
        <v>49.068029775879836</v>
      </c>
      <c r="X23">
        <v>23.348311724168695</v>
      </c>
      <c r="Y23" s="5">
        <f t="shared" si="3"/>
        <v>2758.1494574203994</v>
      </c>
      <c r="Z23" s="3">
        <v>298.78044931355413</v>
      </c>
      <c r="AA23" s="5">
        <f t="shared" si="4"/>
        <v>3056.9299067339534</v>
      </c>
    </row>
    <row r="24" spans="1:27" x14ac:dyDescent="0.25">
      <c r="A24" s="2">
        <v>2002</v>
      </c>
      <c r="B24" s="5">
        <f t="shared" si="1"/>
        <v>322.87439387382568</v>
      </c>
      <c r="C24" s="3">
        <v>275.98834254303159</v>
      </c>
      <c r="D24" s="3">
        <v>46.886051330794082</v>
      </c>
      <c r="E24" s="5">
        <f t="shared" si="5"/>
        <v>611.99575458586241</v>
      </c>
      <c r="F24" s="3">
        <v>272.8349290497224</v>
      </c>
      <c r="G24" s="3">
        <v>40.590513388753209</v>
      </c>
      <c r="H24" s="3">
        <v>19.449350595073376</v>
      </c>
      <c r="I24" s="3">
        <v>279.12096155231347</v>
      </c>
      <c r="J24" s="5">
        <f t="shared" si="2"/>
        <v>1915.7562274734514</v>
      </c>
      <c r="K24" s="3">
        <v>495.19371308712113</v>
      </c>
      <c r="L24" s="3">
        <v>136.21240617569686</v>
      </c>
      <c r="M24" s="3">
        <v>170.15298245248363</v>
      </c>
      <c r="N24" s="3">
        <v>133.05565273229817</v>
      </c>
      <c r="O24" s="3">
        <v>161.84123024260947</v>
      </c>
      <c r="P24">
        <v>166.51157630188899</v>
      </c>
      <c r="Q24">
        <v>37.934584263460891</v>
      </c>
      <c r="R24">
        <v>60.622718825677126</v>
      </c>
      <c r="S24">
        <v>220.37365325775426</v>
      </c>
      <c r="T24">
        <v>195.03985032312545</v>
      </c>
      <c r="U24">
        <v>34.28816332849577</v>
      </c>
      <c r="V24">
        <v>33.323415056437042</v>
      </c>
      <c r="W24">
        <v>49.661349253719948</v>
      </c>
      <c r="X24">
        <v>21.544932172682735</v>
      </c>
      <c r="Y24" s="5">
        <f t="shared" si="3"/>
        <v>2850.6263759331396</v>
      </c>
      <c r="Z24" s="3">
        <v>326.83207327999173</v>
      </c>
      <c r="AA24" s="5">
        <f t="shared" si="4"/>
        <v>3177.4584492131312</v>
      </c>
    </row>
    <row r="25" spans="1:27" x14ac:dyDescent="0.25">
      <c r="A25" s="2">
        <v>2003</v>
      </c>
      <c r="B25" s="5">
        <f t="shared" si="1"/>
        <v>430.31880844687146</v>
      </c>
      <c r="C25" s="3">
        <v>383.86516133776024</v>
      </c>
      <c r="D25" s="3">
        <v>46.45364710911123</v>
      </c>
      <c r="E25" s="5">
        <f t="shared" si="5"/>
        <v>544.93149379822785</v>
      </c>
      <c r="F25" s="3">
        <v>269.20854391988632</v>
      </c>
      <c r="G25" s="3">
        <v>43.126481281656673</v>
      </c>
      <c r="H25" s="3">
        <v>20.935174842461279</v>
      </c>
      <c r="I25" s="3">
        <v>211.66129375422355</v>
      </c>
      <c r="J25" s="5">
        <f t="shared" si="2"/>
        <v>2029.4379316482534</v>
      </c>
      <c r="K25" s="3">
        <v>495.13095292383326</v>
      </c>
      <c r="L25" s="3">
        <v>136.2398983094657</v>
      </c>
      <c r="M25" s="3">
        <v>192.50599187111806</v>
      </c>
      <c r="N25" s="3">
        <v>150.57062541669612</v>
      </c>
      <c r="O25" s="3">
        <v>212.77845045318375</v>
      </c>
      <c r="P25">
        <v>168.67645701813117</v>
      </c>
      <c r="Q25">
        <v>36.180491518275993</v>
      </c>
      <c r="R25">
        <v>58.761906666618444</v>
      </c>
      <c r="S25">
        <v>232.63540257388638</v>
      </c>
      <c r="T25">
        <v>207.36182181031322</v>
      </c>
      <c r="U25">
        <v>34.463467174921398</v>
      </c>
      <c r="V25">
        <v>34.580842814856787</v>
      </c>
      <c r="W25">
        <v>48.408305193897249</v>
      </c>
      <c r="X25">
        <v>21.143317903056026</v>
      </c>
      <c r="Y25" s="5">
        <f t="shared" si="3"/>
        <v>3004.6882338933528</v>
      </c>
      <c r="Z25" s="3">
        <v>355.55435081657436</v>
      </c>
      <c r="AA25" s="5">
        <f t="shared" si="4"/>
        <v>3360.2425847099271</v>
      </c>
    </row>
    <row r="26" spans="1:27" x14ac:dyDescent="0.25">
      <c r="A26" s="2">
        <v>2004</v>
      </c>
      <c r="B26" s="5">
        <f t="shared" si="1"/>
        <v>469.7614432017694</v>
      </c>
      <c r="C26" s="3">
        <v>421.00378996928123</v>
      </c>
      <c r="D26" s="3">
        <v>48.757653232488188</v>
      </c>
      <c r="E26" s="5">
        <f t="shared" si="5"/>
        <v>594.38892906012632</v>
      </c>
      <c r="F26" s="3">
        <v>309.81294381204003</v>
      </c>
      <c r="G26" s="3">
        <v>41.178719187298292</v>
      </c>
      <c r="H26" s="3">
        <v>21.844807036518532</v>
      </c>
      <c r="I26" s="3">
        <v>221.55245902426944</v>
      </c>
      <c r="J26" s="5">
        <f t="shared" si="2"/>
        <v>2094.8095517621969</v>
      </c>
      <c r="K26" s="3">
        <v>488.19152455866015</v>
      </c>
      <c r="L26" s="3">
        <v>151.45690758609271</v>
      </c>
      <c r="M26" s="3">
        <v>209.24130016627939</v>
      </c>
      <c r="N26" s="3">
        <v>152.03191197805606</v>
      </c>
      <c r="O26" s="3">
        <v>224.47602509372362</v>
      </c>
      <c r="P26">
        <v>175.0510667257582</v>
      </c>
      <c r="Q26">
        <v>39.286711956857218</v>
      </c>
      <c r="R26">
        <v>62.295323883906882</v>
      </c>
      <c r="S26">
        <v>235.55698268672282</v>
      </c>
      <c r="T26">
        <v>212.97261080337162</v>
      </c>
      <c r="U26">
        <v>35.547598375840892</v>
      </c>
      <c r="V26">
        <v>36.729509179515112</v>
      </c>
      <c r="W26">
        <v>50.217972495965142</v>
      </c>
      <c r="X26">
        <v>21.754106271446648</v>
      </c>
      <c r="Y26" s="5">
        <f t="shared" si="3"/>
        <v>3158.9599240240927</v>
      </c>
      <c r="Z26" s="3">
        <v>361.18024015756754</v>
      </c>
      <c r="AA26" s="5">
        <f t="shared" si="4"/>
        <v>3520.1401641816601</v>
      </c>
    </row>
    <row r="27" spans="1:27" x14ac:dyDescent="0.25">
      <c r="A27" s="2">
        <v>2005</v>
      </c>
      <c r="B27" s="5">
        <f t="shared" si="1"/>
        <v>480.63791319524097</v>
      </c>
      <c r="C27" s="3">
        <v>434.79497317541995</v>
      </c>
      <c r="D27" s="3">
        <v>45.842940019821029</v>
      </c>
      <c r="E27" s="5">
        <f t="shared" si="5"/>
        <v>592.07848725818508</v>
      </c>
      <c r="F27" s="3">
        <v>317.24169593202043</v>
      </c>
      <c r="G27" s="3">
        <v>40.86304474103305</v>
      </c>
      <c r="H27" s="3">
        <v>21.933958605297793</v>
      </c>
      <c r="I27" s="3">
        <v>212.03978797983382</v>
      </c>
      <c r="J27" s="5">
        <f t="shared" si="2"/>
        <v>2181.4326347846622</v>
      </c>
      <c r="K27" s="3">
        <v>512.99426240499906</v>
      </c>
      <c r="L27" s="3">
        <v>149.75787480348117</v>
      </c>
      <c r="M27" s="3">
        <v>219.66250271711706</v>
      </c>
      <c r="N27" s="3">
        <v>167.71385499566111</v>
      </c>
      <c r="O27" s="3">
        <v>221.7427617296982</v>
      </c>
      <c r="P27">
        <v>182.81580710288679</v>
      </c>
      <c r="Q27">
        <v>47.266183215366254</v>
      </c>
      <c r="R27">
        <v>66.719848688053958</v>
      </c>
      <c r="S27">
        <v>238.81661659828751</v>
      </c>
      <c r="T27">
        <v>217.11928955619243</v>
      </c>
      <c r="U27">
        <v>36.914551064062593</v>
      </c>
      <c r="V27">
        <v>41.370480943610545</v>
      </c>
      <c r="W27">
        <v>56.131871505655575</v>
      </c>
      <c r="X27">
        <v>22.406729459590046</v>
      </c>
      <c r="Y27" s="5">
        <f t="shared" si="3"/>
        <v>3254.1490352380879</v>
      </c>
      <c r="Z27" s="3">
        <v>345.67184392479106</v>
      </c>
      <c r="AA27" s="5">
        <f t="shared" si="4"/>
        <v>3599.820879162879</v>
      </c>
    </row>
    <row r="28" spans="1:27" x14ac:dyDescent="0.25">
      <c r="A28" s="2">
        <v>2006</v>
      </c>
      <c r="B28" s="5">
        <f t="shared" si="1"/>
        <v>543.54763756604643</v>
      </c>
      <c r="C28" s="3">
        <v>404.22395821646404</v>
      </c>
      <c r="D28" s="3">
        <v>139.32367934958239</v>
      </c>
      <c r="E28" s="5">
        <f t="shared" si="5"/>
        <v>590.42116837416745</v>
      </c>
      <c r="F28" s="3">
        <v>299.12132444862596</v>
      </c>
      <c r="G28" s="3">
        <v>67.089477559581951</v>
      </c>
      <c r="H28" s="3">
        <v>21.706586123757649</v>
      </c>
      <c r="I28" s="3">
        <v>202.50378024220191</v>
      </c>
      <c r="J28" s="5">
        <f t="shared" si="2"/>
        <v>2205.5861536721018</v>
      </c>
      <c r="K28" s="3">
        <v>504.84986241849572</v>
      </c>
      <c r="L28" s="3">
        <v>143.43839763146406</v>
      </c>
      <c r="M28" s="3">
        <v>216.12405034245825</v>
      </c>
      <c r="N28" s="3">
        <v>181.2094954027479</v>
      </c>
      <c r="O28" s="3">
        <v>240.04506344071063</v>
      </c>
      <c r="P28">
        <v>188.65642065805048</v>
      </c>
      <c r="Q28">
        <v>53.984410865625563</v>
      </c>
      <c r="R28">
        <v>66.596635300899777</v>
      </c>
      <c r="S28">
        <v>227.21266715832462</v>
      </c>
      <c r="T28">
        <v>222.17015315542062</v>
      </c>
      <c r="U28">
        <v>37.845391544172791</v>
      </c>
      <c r="V28">
        <v>42.896089564871396</v>
      </c>
      <c r="W28">
        <v>57.411364657103043</v>
      </c>
      <c r="X28">
        <v>23.146151531756519</v>
      </c>
      <c r="Y28" s="5">
        <f t="shared" si="3"/>
        <v>3339.5549596123155</v>
      </c>
      <c r="Z28" s="3">
        <v>372.81542312973022</v>
      </c>
      <c r="AA28" s="5">
        <f t="shared" si="4"/>
        <v>3712.3703827420459</v>
      </c>
    </row>
    <row r="29" spans="1:27" x14ac:dyDescent="0.25">
      <c r="A29" s="2">
        <v>2007</v>
      </c>
      <c r="B29" s="5">
        <f t="shared" si="1"/>
        <v>536.62985922934388</v>
      </c>
      <c r="C29" s="3">
        <v>355.12498165646468</v>
      </c>
      <c r="D29" s="3">
        <v>181.50487757287922</v>
      </c>
      <c r="E29" s="5">
        <f t="shared" si="5"/>
        <v>596.51739475232921</v>
      </c>
      <c r="F29" s="3">
        <v>284.89046772030821</v>
      </c>
      <c r="G29" s="3">
        <v>71.450492695777626</v>
      </c>
      <c r="H29" s="3">
        <v>22.109506918888805</v>
      </c>
      <c r="I29" s="3">
        <v>218.06692741735452</v>
      </c>
      <c r="J29" s="5">
        <f t="shared" si="2"/>
        <v>2301.7863319524736</v>
      </c>
      <c r="K29" s="3">
        <v>506.43500988959369</v>
      </c>
      <c r="L29" s="3">
        <v>149.5322002197328</v>
      </c>
      <c r="M29" s="3">
        <v>230.13508670180812</v>
      </c>
      <c r="N29" s="3">
        <v>196.35063914908227</v>
      </c>
      <c r="O29" s="3">
        <v>261.61617590517261</v>
      </c>
      <c r="P29">
        <v>189.99285175652832</v>
      </c>
      <c r="Q29">
        <v>54.71883057455895</v>
      </c>
      <c r="R29">
        <v>71.484041357708236</v>
      </c>
      <c r="S29">
        <v>252.05237810855044</v>
      </c>
      <c r="T29">
        <v>227.33036731154306</v>
      </c>
      <c r="U29">
        <v>37.403143937460001</v>
      </c>
      <c r="V29">
        <v>43.258168371968296</v>
      </c>
      <c r="W29">
        <v>58.053533318629597</v>
      </c>
      <c r="X29">
        <v>23.423905350137598</v>
      </c>
      <c r="Y29" s="5">
        <f t="shared" si="3"/>
        <v>3434.9335859341468</v>
      </c>
      <c r="Z29" s="3">
        <v>401.40763009443265</v>
      </c>
      <c r="AA29" s="5">
        <f t="shared" si="4"/>
        <v>3836.3412160285793</v>
      </c>
    </row>
    <row r="30" spans="1:27" x14ac:dyDescent="0.25">
      <c r="A30" s="2">
        <v>2008</v>
      </c>
      <c r="B30" s="5">
        <f t="shared" si="1"/>
        <v>535.68346223479932</v>
      </c>
      <c r="C30" s="3">
        <v>359.67696779203055</v>
      </c>
      <c r="D30" s="3">
        <v>176.00649444276877</v>
      </c>
      <c r="E30" s="5">
        <f t="shared" si="5"/>
        <v>561.21270434226017</v>
      </c>
      <c r="F30" s="3">
        <v>286.50954658808905</v>
      </c>
      <c r="G30" s="3">
        <v>33.514855913952943</v>
      </c>
      <c r="H30" s="3">
        <v>22.686502553294272</v>
      </c>
      <c r="I30" s="3">
        <v>218.50179928692398</v>
      </c>
      <c r="J30" s="5">
        <f t="shared" si="2"/>
        <v>2282.2357251569338</v>
      </c>
      <c r="K30" s="3">
        <v>517.59778418951942</v>
      </c>
      <c r="L30" s="3">
        <v>137.89571493464672</v>
      </c>
      <c r="M30" s="3">
        <v>212.50312512256994</v>
      </c>
      <c r="N30" s="3">
        <v>193.19825592212933</v>
      </c>
      <c r="O30" s="3">
        <v>267.34184155686427</v>
      </c>
      <c r="P30">
        <v>190.96038171985964</v>
      </c>
      <c r="Q30">
        <v>51.445599868619688</v>
      </c>
      <c r="R30">
        <v>66.380172273154528</v>
      </c>
      <c r="S30">
        <v>250.94458657653925</v>
      </c>
      <c r="T30">
        <v>230.90788288750088</v>
      </c>
      <c r="U30">
        <v>38.486533692486475</v>
      </c>
      <c r="V30">
        <v>42.552125069183759</v>
      </c>
      <c r="W30">
        <v>58.452363211411331</v>
      </c>
      <c r="X30">
        <v>23.569358132448343</v>
      </c>
      <c r="Y30" s="5">
        <f t="shared" si="3"/>
        <v>3379.1318917339931</v>
      </c>
      <c r="Z30" s="3">
        <v>394.77371657476425</v>
      </c>
      <c r="AA30" s="5">
        <f t="shared" si="4"/>
        <v>3773.9056083087576</v>
      </c>
    </row>
    <row r="31" spans="1:27" x14ac:dyDescent="0.25">
      <c r="A31" s="2">
        <v>2009</v>
      </c>
      <c r="B31" s="5">
        <f t="shared" si="1"/>
        <v>602.82689932365088</v>
      </c>
      <c r="C31" s="3">
        <v>368.9125090541375</v>
      </c>
      <c r="D31" s="3">
        <v>233.91439026951343</v>
      </c>
      <c r="E31" s="5">
        <f t="shared" si="5"/>
        <v>547.29647961912201</v>
      </c>
      <c r="F31" s="3">
        <v>283.83532801200425</v>
      </c>
      <c r="G31" s="3">
        <v>63.621737328671202</v>
      </c>
      <c r="H31" s="3">
        <v>24.728650143242046</v>
      </c>
      <c r="I31" s="3">
        <v>175.11076413520453</v>
      </c>
      <c r="J31" s="5">
        <f t="shared" si="2"/>
        <v>2260.5720104783359</v>
      </c>
      <c r="K31" s="3">
        <v>485.20270507373328</v>
      </c>
      <c r="L31" s="3">
        <v>131.11442855987588</v>
      </c>
      <c r="M31" s="3">
        <v>193.67372601343735</v>
      </c>
      <c r="N31" s="3">
        <v>180.72676204739105</v>
      </c>
      <c r="O31" s="3">
        <v>295.44853590463873</v>
      </c>
      <c r="P31">
        <v>194.80440238940756</v>
      </c>
      <c r="Q31">
        <v>46.87032014299345</v>
      </c>
      <c r="R31">
        <v>70.098119043117293</v>
      </c>
      <c r="S31">
        <v>265.8464529811742</v>
      </c>
      <c r="T31">
        <v>219.5092408754835</v>
      </c>
      <c r="U31">
        <v>53.096308663321665</v>
      </c>
      <c r="V31">
        <v>40.743685858601509</v>
      </c>
      <c r="W31">
        <v>59.232425092671704</v>
      </c>
      <c r="X31">
        <v>24.204897832488907</v>
      </c>
      <c r="Y31" s="5">
        <f t="shared" si="3"/>
        <v>3410.6953894211083</v>
      </c>
      <c r="Z31" s="3">
        <v>346.35185016182368</v>
      </c>
      <c r="AA31" s="5">
        <f t="shared" si="4"/>
        <v>3757.047239582932</v>
      </c>
    </row>
    <row r="32" spans="1:27" x14ac:dyDescent="0.25">
      <c r="A32" s="2">
        <v>2010</v>
      </c>
      <c r="B32" s="5">
        <f t="shared" si="1"/>
        <v>602.07561177523326</v>
      </c>
      <c r="C32" s="3">
        <v>395.3123102650211</v>
      </c>
      <c r="D32" s="3">
        <v>206.76330151021213</v>
      </c>
      <c r="E32" s="5">
        <f t="shared" si="5"/>
        <v>492.66361130085704</v>
      </c>
      <c r="F32" s="3">
        <v>277.10024324640426</v>
      </c>
      <c r="G32" s="3">
        <v>68.96111120762896</v>
      </c>
      <c r="H32" s="3">
        <v>23.280548424773905</v>
      </c>
      <c r="I32" s="3">
        <v>123.32170842204997</v>
      </c>
      <c r="J32" s="5">
        <f t="shared" si="2"/>
        <v>2324.6423228278636</v>
      </c>
      <c r="K32" s="3">
        <v>496.00533519947004</v>
      </c>
      <c r="L32" s="3">
        <v>145.13541042893695</v>
      </c>
      <c r="M32" s="3">
        <v>188.21987725563713</v>
      </c>
      <c r="N32" s="3">
        <v>187.78694991461629</v>
      </c>
      <c r="O32" s="3">
        <v>304.62062972248424</v>
      </c>
      <c r="P32">
        <v>200.2240744864406</v>
      </c>
      <c r="Q32">
        <v>47.02208646591815</v>
      </c>
      <c r="R32">
        <v>68.688654291507433</v>
      </c>
      <c r="S32">
        <v>272.38977401045759</v>
      </c>
      <c r="T32">
        <v>224.85444772120601</v>
      </c>
      <c r="U32">
        <v>62.197296248277574</v>
      </c>
      <c r="V32">
        <v>42.26273466331061</v>
      </c>
      <c r="W32">
        <v>60.375947396788348</v>
      </c>
      <c r="X32">
        <v>24.859105022812297</v>
      </c>
      <c r="Y32" s="5">
        <f t="shared" si="3"/>
        <v>3419.3815459039542</v>
      </c>
      <c r="Z32" s="3">
        <v>390.91849735179409</v>
      </c>
      <c r="AA32" s="5">
        <f t="shared" si="4"/>
        <v>3810.3000432557483</v>
      </c>
    </row>
    <row r="33" spans="1:27" x14ac:dyDescent="0.25">
      <c r="A33" s="2">
        <v>2011</v>
      </c>
      <c r="B33" s="5">
        <f t="shared" si="1"/>
        <v>550.88116009466762</v>
      </c>
      <c r="C33" s="3">
        <v>362.41193309506912</v>
      </c>
      <c r="D33" s="3">
        <v>188.46922699959856</v>
      </c>
      <c r="E33" s="5">
        <f t="shared" si="5"/>
        <v>500.37148419162236</v>
      </c>
      <c r="F33" s="3">
        <v>280.17094496508048</v>
      </c>
      <c r="G33" s="3">
        <v>70.952529879653184</v>
      </c>
      <c r="H33" s="3">
        <v>23.206477116971026</v>
      </c>
      <c r="I33" s="3">
        <v>126.04153222991764</v>
      </c>
      <c r="J33" s="5">
        <f t="shared" si="2"/>
        <v>2337.8486026351729</v>
      </c>
      <c r="K33" s="3">
        <v>529.24305997698707</v>
      </c>
      <c r="L33" s="3">
        <v>154.97542334991877</v>
      </c>
      <c r="M33" s="3">
        <v>165.78567888488536</v>
      </c>
      <c r="N33" s="3">
        <v>173.25979050508971</v>
      </c>
      <c r="O33" s="3">
        <v>315.77493598107276</v>
      </c>
      <c r="P33">
        <v>202.47405583301008</v>
      </c>
      <c r="Q33">
        <v>48.132820688710225</v>
      </c>
      <c r="R33">
        <v>68.278604064407418</v>
      </c>
      <c r="S33">
        <v>268.06802497442663</v>
      </c>
      <c r="T33">
        <v>223.0936828417592</v>
      </c>
      <c r="U33">
        <v>58.672225781462863</v>
      </c>
      <c r="V33">
        <v>43.58967172795326</v>
      </c>
      <c r="W33">
        <v>61.274549335677371</v>
      </c>
      <c r="X33">
        <v>25.226078689812631</v>
      </c>
      <c r="Y33" s="5">
        <f t="shared" si="3"/>
        <v>3389.1012469214629</v>
      </c>
      <c r="Z33" s="3">
        <v>416.24266911930022</v>
      </c>
      <c r="AA33" s="5">
        <f t="shared" si="4"/>
        <v>3805.3439160407634</v>
      </c>
    </row>
    <row r="34" spans="1:27" x14ac:dyDescent="0.25">
      <c r="A34" s="2">
        <v>2012</v>
      </c>
      <c r="B34" s="5">
        <f t="shared" si="1"/>
        <v>558.96336687299697</v>
      </c>
      <c r="C34" s="3">
        <v>415.45962001743641</v>
      </c>
      <c r="D34">
        <v>143.50374685556059</v>
      </c>
      <c r="E34" s="5">
        <f t="shared" si="5"/>
        <v>484.11810873078639</v>
      </c>
      <c r="F34" s="3">
        <v>314.77364570398112</v>
      </c>
      <c r="G34" s="3">
        <v>19.306759269257668</v>
      </c>
      <c r="H34" s="3">
        <v>23.337286286237056</v>
      </c>
      <c r="I34" s="3">
        <v>126.70041747131057</v>
      </c>
      <c r="J34" s="5">
        <f t="shared" si="2"/>
        <v>2464.0196102948667</v>
      </c>
      <c r="K34" s="3">
        <v>565.94162385859931</v>
      </c>
      <c r="L34" s="3">
        <v>160.73727436980096</v>
      </c>
      <c r="M34" s="3">
        <v>202.77094318853142</v>
      </c>
      <c r="N34" s="3">
        <v>164.8796109055059</v>
      </c>
      <c r="O34" s="3">
        <v>328.20823266391119</v>
      </c>
      <c r="P34">
        <v>205.88150569910962</v>
      </c>
      <c r="Q34">
        <v>59.723956038278544</v>
      </c>
      <c r="R34">
        <v>73.006776196651714</v>
      </c>
      <c r="S34">
        <v>272.23059288107027</v>
      </c>
      <c r="T34">
        <v>225.2245958323347</v>
      </c>
      <c r="U34">
        <v>70.041567934651511</v>
      </c>
      <c r="V34">
        <v>47.563923757664121</v>
      </c>
      <c r="W34">
        <v>62.138672738592312</v>
      </c>
      <c r="X34">
        <v>25.670334230164933</v>
      </c>
      <c r="Y34" s="5">
        <f t="shared" si="3"/>
        <v>3507.1010858986501</v>
      </c>
      <c r="Z34" s="3">
        <v>448.32146921917433</v>
      </c>
      <c r="AA34" s="5">
        <f t="shared" si="4"/>
        <v>3955.4225551178242</v>
      </c>
    </row>
    <row r="35" spans="1:27" x14ac:dyDescent="0.25">
      <c r="A35" s="2">
        <v>2013</v>
      </c>
      <c r="B35" s="5">
        <f t="shared" si="1"/>
        <v>512.11765560906599</v>
      </c>
      <c r="C35" s="3">
        <v>409.8129246878741</v>
      </c>
      <c r="D35">
        <v>102.30473092119188</v>
      </c>
      <c r="E35" s="5">
        <f t="shared" si="5"/>
        <v>536.82884644976957</v>
      </c>
      <c r="F35" s="3">
        <v>300.44639440498048</v>
      </c>
      <c r="G35" s="3">
        <v>93.672701904942869</v>
      </c>
      <c r="H35" s="3">
        <v>22.215927310081131</v>
      </c>
      <c r="I35" s="3">
        <v>120.49382282976509</v>
      </c>
      <c r="J35" s="5">
        <f t="shared" si="2"/>
        <v>2584.2947484469973</v>
      </c>
      <c r="K35" s="3">
        <v>607.21666941702892</v>
      </c>
      <c r="L35" s="3">
        <v>171.51203755907625</v>
      </c>
      <c r="M35" s="3">
        <v>230.04438665971782</v>
      </c>
      <c r="N35" s="3">
        <v>159.24155166220436</v>
      </c>
      <c r="O35" s="3">
        <v>349.23545569458338</v>
      </c>
      <c r="P35">
        <v>209.74934230231486</v>
      </c>
      <c r="Q35">
        <v>55.219136957861984</v>
      </c>
      <c r="R35">
        <v>74.959569660975262</v>
      </c>
      <c r="S35">
        <v>288.97293160673081</v>
      </c>
      <c r="T35">
        <v>231.07084905396982</v>
      </c>
      <c r="U35">
        <v>67.846592971241748</v>
      </c>
      <c r="V35">
        <v>50.080718699611509</v>
      </c>
      <c r="W35">
        <v>62.899245326863415</v>
      </c>
      <c r="X35">
        <v>26.246260874816702</v>
      </c>
      <c r="Y35" s="5">
        <f t="shared" si="3"/>
        <v>3633.2412505058328</v>
      </c>
      <c r="Z35" s="3">
        <v>483.02726995753392</v>
      </c>
      <c r="AA35" s="5">
        <f t="shared" si="4"/>
        <v>4116.2685204633672</v>
      </c>
    </row>
    <row r="36" spans="1:27" x14ac:dyDescent="0.25">
      <c r="A36" s="2">
        <v>2014</v>
      </c>
      <c r="B36" s="5">
        <f t="shared" si="1"/>
        <v>534.32677103702031</v>
      </c>
      <c r="C36" s="3">
        <v>435.32682401389121</v>
      </c>
      <c r="D36">
        <v>98.999947023129081</v>
      </c>
      <c r="E36" s="5">
        <f t="shared" si="5"/>
        <v>578.30834609902536</v>
      </c>
      <c r="F36" s="3">
        <v>301.76699189982077</v>
      </c>
      <c r="G36" s="3">
        <v>106.98191477823022</v>
      </c>
      <c r="H36" s="3">
        <v>24.46887684724949</v>
      </c>
      <c r="I36" s="3">
        <v>145.09056257372492</v>
      </c>
      <c r="J36" s="5">
        <f t="shared" si="2"/>
        <v>2647.423856940391</v>
      </c>
      <c r="K36" s="3">
        <v>613.22381449903503</v>
      </c>
      <c r="L36" s="3">
        <v>183.6507145436255</v>
      </c>
      <c r="M36" s="3">
        <v>225.1020066666398</v>
      </c>
      <c r="N36" s="3">
        <v>170.96052845219214</v>
      </c>
      <c r="O36" s="3">
        <v>347.2255285720251</v>
      </c>
      <c r="P36">
        <v>214.19486292833875</v>
      </c>
      <c r="Q36">
        <v>57.853660715427623</v>
      </c>
      <c r="R36">
        <v>92.44626533028412</v>
      </c>
      <c r="S36">
        <v>295.11933409044275</v>
      </c>
      <c r="T36">
        <v>231.49125981608705</v>
      </c>
      <c r="U36">
        <v>71.510231381759183</v>
      </c>
      <c r="V36">
        <v>53.986121237769296</v>
      </c>
      <c r="W36">
        <v>63.836035231185903</v>
      </c>
      <c r="X36">
        <v>26.823493475578793</v>
      </c>
      <c r="Y36" s="5">
        <f t="shared" si="3"/>
        <v>3760.0589740764362</v>
      </c>
      <c r="Z36" s="3">
        <v>516.42542579999986</v>
      </c>
      <c r="AA36" s="5">
        <f t="shared" si="4"/>
        <v>4276.4843998764363</v>
      </c>
    </row>
    <row r="37" spans="1:27" x14ac:dyDescent="0.25">
      <c r="A37" s="2">
        <v>2015</v>
      </c>
      <c r="B37" s="5">
        <f t="shared" si="1"/>
        <v>466.32259479607501</v>
      </c>
      <c r="C37" s="3">
        <v>405.09141581099004</v>
      </c>
      <c r="D37">
        <v>61.231178985084966</v>
      </c>
      <c r="E37" s="5">
        <f t="shared" si="5"/>
        <v>598.73079215682162</v>
      </c>
      <c r="F37" s="3">
        <v>309.49633623987455</v>
      </c>
      <c r="G37" s="3">
        <v>82.412412117992972</v>
      </c>
      <c r="H37" s="3">
        <v>30.12500708185906</v>
      </c>
      <c r="I37" s="3">
        <v>176.69703671709505</v>
      </c>
      <c r="J37" s="5">
        <f t="shared" si="2"/>
        <v>2748.8069288232819</v>
      </c>
      <c r="K37" s="3">
        <v>615.48400304749748</v>
      </c>
      <c r="L37" s="3">
        <v>212.95503644914271</v>
      </c>
      <c r="M37" s="3">
        <v>209.80829413536998</v>
      </c>
      <c r="N37" s="3">
        <v>174.77487347076354</v>
      </c>
      <c r="O37" s="3">
        <v>400.81065115134516</v>
      </c>
      <c r="P37">
        <v>218.40666854007983</v>
      </c>
      <c r="Q37">
        <v>59.122202273225874</v>
      </c>
      <c r="R37">
        <v>95.520133830115967</v>
      </c>
      <c r="S37">
        <v>322.17798019778655</v>
      </c>
      <c r="T37">
        <v>235.5846614832864</v>
      </c>
      <c r="U37">
        <v>69.349312793490128</v>
      </c>
      <c r="V37">
        <v>48.854416297406338</v>
      </c>
      <c r="W37">
        <v>58.556279016582202</v>
      </c>
      <c r="X37">
        <v>27.40241613718954</v>
      </c>
      <c r="Y37" s="5">
        <f t="shared" si="3"/>
        <v>3813.8603157761786</v>
      </c>
      <c r="Z37" s="3">
        <v>580.66617893078558</v>
      </c>
      <c r="AA37" s="5">
        <f t="shared" si="4"/>
        <v>4394.5264947069645</v>
      </c>
    </row>
    <row r="38" spans="1:27" x14ac:dyDescent="0.25">
      <c r="A38" s="2">
        <v>2016</v>
      </c>
      <c r="B38" s="5">
        <f t="shared" si="1"/>
        <v>418.28139221692368</v>
      </c>
      <c r="C38" s="3">
        <v>362.06692104493226</v>
      </c>
      <c r="D38">
        <v>56.214471171991441</v>
      </c>
      <c r="E38" s="5">
        <f t="shared" si="5"/>
        <v>655.7637847500821</v>
      </c>
      <c r="F38" s="3">
        <v>311.13178411824941</v>
      </c>
      <c r="G38" s="3">
        <v>83.582062232685075</v>
      </c>
      <c r="H38" s="3">
        <v>32.03138250075439</v>
      </c>
      <c r="I38" s="3">
        <v>229.01855589839317</v>
      </c>
      <c r="J38" s="5">
        <f t="shared" si="2"/>
        <v>2731.3300184233144</v>
      </c>
      <c r="K38" s="3">
        <v>587.67839122900966</v>
      </c>
      <c r="L38" s="3">
        <v>217.28688604079099</v>
      </c>
      <c r="M38" s="3">
        <v>186.95569422564267</v>
      </c>
      <c r="N38" s="3">
        <v>175.71682884327396</v>
      </c>
      <c r="O38" s="3">
        <v>390.14577592896808</v>
      </c>
      <c r="P38">
        <v>222.88123577994511</v>
      </c>
      <c r="Q38">
        <v>55.026927962749475</v>
      </c>
      <c r="R38">
        <v>106.49278075034513</v>
      </c>
      <c r="S38">
        <v>341.96806525283529</v>
      </c>
      <c r="T38">
        <v>240.33030350079849</v>
      </c>
      <c r="U38">
        <v>71.128472318367869</v>
      </c>
      <c r="V38">
        <v>48.966417483206314</v>
      </c>
      <c r="W38">
        <v>58.78034928514338</v>
      </c>
      <c r="X38">
        <v>27.971889822237372</v>
      </c>
      <c r="Y38" s="5">
        <f t="shared" si="3"/>
        <v>3805.3751953903202</v>
      </c>
      <c r="Z38" s="3">
        <v>588.32771377093229</v>
      </c>
      <c r="AA38" s="5">
        <f t="shared" si="4"/>
        <v>4393.7029091612521</v>
      </c>
    </row>
    <row r="39" spans="1:27" x14ac:dyDescent="0.25">
      <c r="A39" s="2">
        <v>2017</v>
      </c>
      <c r="B39" s="5">
        <f t="shared" si="1"/>
        <v>459.80022483318021</v>
      </c>
      <c r="C39" s="3">
        <v>406.82448087799128</v>
      </c>
      <c r="D39">
        <v>52.975743955188946</v>
      </c>
      <c r="E39" s="5">
        <f t="shared" si="5"/>
        <v>609.2431879828514</v>
      </c>
      <c r="F39" s="3">
        <v>307.88937127927278</v>
      </c>
      <c r="G39" s="3">
        <v>76.83351362599447</v>
      </c>
      <c r="H39" s="3">
        <v>32.322133470937906</v>
      </c>
      <c r="I39" s="3">
        <v>192.19816960664622</v>
      </c>
      <c r="J39" s="5">
        <f t="shared" si="2"/>
        <v>2705.907869902001</v>
      </c>
      <c r="K39" s="3">
        <v>570.01035056278454</v>
      </c>
      <c r="L39" s="3">
        <v>187.9386232218688</v>
      </c>
      <c r="M39" s="3">
        <v>198.39939280637503</v>
      </c>
      <c r="N39" s="3">
        <v>176.7478092470129</v>
      </c>
      <c r="O39" s="3">
        <v>387.89301174100945</v>
      </c>
      <c r="P39">
        <v>228.09190111327882</v>
      </c>
      <c r="Q39">
        <v>54.908890921279514</v>
      </c>
      <c r="R39">
        <v>103.80853411194843</v>
      </c>
      <c r="S39">
        <v>354.33494063735304</v>
      </c>
      <c r="T39">
        <v>239.96314130564468</v>
      </c>
      <c r="U39">
        <v>72.240519709320594</v>
      </c>
      <c r="V39">
        <v>48.887859906189071</v>
      </c>
      <c r="W39">
        <v>54.155282060283454</v>
      </c>
      <c r="X39">
        <v>28.52761255765299</v>
      </c>
      <c r="Y39" s="5">
        <f t="shared" si="3"/>
        <v>3774.9512827180324</v>
      </c>
      <c r="Z39" s="3">
        <v>538.2046472860909</v>
      </c>
      <c r="AA39" s="5">
        <f t="shared" si="4"/>
        <v>4313.1559300041235</v>
      </c>
    </row>
    <row r="40" spans="1:27" x14ac:dyDescent="0.25">
      <c r="A40" s="2">
        <v>2018</v>
      </c>
      <c r="B40" s="5">
        <f t="shared" si="1"/>
        <v>453.2436624108563</v>
      </c>
      <c r="C40" s="3">
        <v>397.11139374882521</v>
      </c>
      <c r="D40">
        <v>56.132268662031088</v>
      </c>
      <c r="E40" s="5">
        <f t="shared" si="5"/>
        <v>606.37417974700509</v>
      </c>
      <c r="F40" s="3">
        <v>314.24642614361017</v>
      </c>
      <c r="G40" s="3">
        <v>57.33157768141271</v>
      </c>
      <c r="H40" s="3">
        <v>32.880456599609211</v>
      </c>
      <c r="I40" s="3">
        <v>201.91571932237304</v>
      </c>
      <c r="J40" s="5">
        <f t="shared" si="2"/>
        <v>2737.6967489471431</v>
      </c>
      <c r="K40" s="3">
        <v>572.05176913677917</v>
      </c>
      <c r="L40" s="3">
        <v>200.13586858410255</v>
      </c>
      <c r="M40" s="3">
        <v>168.79046467856557</v>
      </c>
      <c r="N40" s="3">
        <v>186.53430160258668</v>
      </c>
      <c r="O40" s="3">
        <v>380.59290891525325</v>
      </c>
      <c r="P40">
        <v>232.79147839349028</v>
      </c>
      <c r="Q40">
        <v>56.614940315671973</v>
      </c>
      <c r="R40">
        <v>113.32367814004596</v>
      </c>
      <c r="S40">
        <v>369.75484378877928</v>
      </c>
      <c r="T40">
        <v>237.69292258291091</v>
      </c>
      <c r="U40">
        <v>73.185727086652903</v>
      </c>
      <c r="V40">
        <v>47.696270256611662</v>
      </c>
      <c r="W40">
        <v>69.434105118253541</v>
      </c>
      <c r="X40">
        <v>29.097470347439149</v>
      </c>
      <c r="Y40" s="5">
        <f t="shared" si="3"/>
        <v>3797.3145911050046</v>
      </c>
      <c r="Z40" s="3">
        <v>551.29842219829675</v>
      </c>
      <c r="AA40" s="5">
        <f t="shared" si="4"/>
        <v>4348.6130133033012</v>
      </c>
    </row>
    <row r="41" spans="1:27" x14ac:dyDescent="0.25">
      <c r="A41" s="2">
        <v>2019</v>
      </c>
      <c r="B41" s="5">
        <f t="shared" si="1"/>
        <v>448.80147325400833</v>
      </c>
      <c r="C41" s="3">
        <v>385.15954199275325</v>
      </c>
      <c r="D41">
        <v>63.641931261255095</v>
      </c>
      <c r="E41" s="5">
        <f t="shared" si="5"/>
        <v>631.50967474651543</v>
      </c>
      <c r="F41" s="3">
        <v>317.55259913544057</v>
      </c>
      <c r="G41" s="3">
        <v>56.715573381657521</v>
      </c>
      <c r="H41" s="3">
        <v>36.685810072665568</v>
      </c>
      <c r="I41" s="3">
        <v>220.55569215675177</v>
      </c>
      <c r="J41" s="5">
        <f t="shared" si="2"/>
        <v>2877.767004303269</v>
      </c>
      <c r="K41" s="3">
        <v>600.42323281713482</v>
      </c>
      <c r="L41" s="3">
        <v>195.08709380982876</v>
      </c>
      <c r="M41" s="3">
        <v>224.40445848379426</v>
      </c>
      <c r="N41" s="3">
        <v>191.36487033358443</v>
      </c>
      <c r="O41" s="3">
        <v>407.86874557169529</v>
      </c>
      <c r="P41">
        <v>236.89157799602879</v>
      </c>
      <c r="Q41">
        <v>50.371413640170495</v>
      </c>
      <c r="R41">
        <v>123.09163251185963</v>
      </c>
      <c r="S41">
        <v>376.10521132546307</v>
      </c>
      <c r="T41">
        <v>238.62752404793682</v>
      </c>
      <c r="U41">
        <v>72.928770738372748</v>
      </c>
      <c r="V41">
        <v>55.785549186703399</v>
      </c>
      <c r="W41">
        <v>75.154742706964697</v>
      </c>
      <c r="X41">
        <v>29.662181133731686</v>
      </c>
      <c r="Y41" s="5">
        <f t="shared" si="3"/>
        <v>3958.0781523037926</v>
      </c>
      <c r="Z41" s="3">
        <v>575.63732539205466</v>
      </c>
      <c r="AA41" s="5">
        <f t="shared" si="4"/>
        <v>4533.7154776958469</v>
      </c>
    </row>
    <row r="42" spans="1:27" x14ac:dyDescent="0.25">
      <c r="A42" s="2">
        <v>2020</v>
      </c>
      <c r="B42" s="5">
        <f t="shared" si="1"/>
        <v>422.13519509974628</v>
      </c>
      <c r="C42" s="3">
        <v>385.42520751490338</v>
      </c>
      <c r="D42">
        <v>36.709987584842906</v>
      </c>
      <c r="E42" s="5">
        <f t="shared" si="5"/>
        <v>634.87772086824782</v>
      </c>
      <c r="F42" s="3">
        <v>290.5286833712679</v>
      </c>
      <c r="G42" s="3">
        <v>112.477140679385</v>
      </c>
      <c r="H42" s="3">
        <v>34.446391115272803</v>
      </c>
      <c r="I42" s="3">
        <v>197.42550570232208</v>
      </c>
      <c r="J42" s="5">
        <f t="shared" si="2"/>
        <v>2404.0809471643988</v>
      </c>
      <c r="K42" s="3">
        <v>513.49315574176376</v>
      </c>
      <c r="L42" s="3">
        <v>123.8655659305211</v>
      </c>
      <c r="M42" s="3">
        <v>105.75878042846097</v>
      </c>
      <c r="N42" s="3">
        <v>162.02476153354513</v>
      </c>
      <c r="O42" s="3">
        <v>388.45133499471422</v>
      </c>
      <c r="P42">
        <v>240.82515870383014</v>
      </c>
      <c r="Q42">
        <v>43.197616637560166</v>
      </c>
      <c r="R42">
        <v>135.28555092048998</v>
      </c>
      <c r="S42">
        <v>266.7671375254327</v>
      </c>
      <c r="T42">
        <v>238.73209329518414</v>
      </c>
      <c r="U42">
        <v>61.732234834584737</v>
      </c>
      <c r="V42">
        <v>37.112154118234187</v>
      </c>
      <c r="W42">
        <v>56.645000530194643</v>
      </c>
      <c r="X42">
        <v>30.190401969882892</v>
      </c>
      <c r="Y42" s="5">
        <f t="shared" si="3"/>
        <v>3461.0938631323929</v>
      </c>
      <c r="Z42" s="3">
        <v>459.53179815811944</v>
      </c>
      <c r="AA42" s="5">
        <f t="shared" si="4"/>
        <v>3920.6256612905122</v>
      </c>
    </row>
    <row r="43" spans="1:27" x14ac:dyDescent="0.25">
      <c r="A43" s="2">
        <v>2021</v>
      </c>
      <c r="B43" s="5">
        <f t="shared" si="1"/>
        <v>525.00768762532687</v>
      </c>
      <c r="C43" s="3">
        <v>459.03799631277485</v>
      </c>
      <c r="D43">
        <v>65.969691312551987</v>
      </c>
      <c r="E43" s="5">
        <f t="shared" si="5"/>
        <v>733.54926767841437</v>
      </c>
      <c r="F43" s="3">
        <v>333.06228231043224</v>
      </c>
      <c r="G43" s="3">
        <v>90.04923810843141</v>
      </c>
      <c r="H43" s="3">
        <v>34.217801189439541</v>
      </c>
      <c r="I43" s="3">
        <v>276.21994607011118</v>
      </c>
      <c r="J43" s="5">
        <f t="shared" si="2"/>
        <v>2804.5332753890912</v>
      </c>
      <c r="K43" s="3">
        <v>625.3768539258524</v>
      </c>
      <c r="L43" s="3">
        <v>170.88608052428287</v>
      </c>
      <c r="M43" s="3">
        <v>153.75968606350474</v>
      </c>
      <c r="N43" s="3">
        <v>173.76494341465053</v>
      </c>
      <c r="O43" s="3">
        <v>418.77161189621336</v>
      </c>
      <c r="P43">
        <v>244.0571255055564</v>
      </c>
      <c r="Q43">
        <v>46.778577298113568</v>
      </c>
      <c r="R43">
        <v>201.97745035463416</v>
      </c>
      <c r="S43">
        <v>328.54459290451729</v>
      </c>
      <c r="T43">
        <v>238.21101868613886</v>
      </c>
      <c r="U43">
        <v>73.000127267955847</v>
      </c>
      <c r="V43">
        <v>42.796712739907406</v>
      </c>
      <c r="W43">
        <v>55.928282475562412</v>
      </c>
      <c r="X43">
        <v>30.680212332201112</v>
      </c>
      <c r="Y43" s="5">
        <f t="shared" si="3"/>
        <v>4063.0902306928324</v>
      </c>
      <c r="Z43" s="3">
        <v>562.85305825610612</v>
      </c>
      <c r="AA43" s="5">
        <f t="shared" si="4"/>
        <v>4625.9432889489381</v>
      </c>
    </row>
    <row r="44" spans="1:27" x14ac:dyDescent="0.25">
      <c r="A44" s="2">
        <v>2022</v>
      </c>
      <c r="B44" s="5">
        <f t="shared" si="1"/>
        <v>521.44825519154654</v>
      </c>
      <c r="C44" s="3">
        <v>459.27697034417184</v>
      </c>
      <c r="D44">
        <v>62.171284847374736</v>
      </c>
      <c r="E44" s="5">
        <f t="shared" si="5"/>
        <v>733.58762655171029</v>
      </c>
      <c r="F44" s="3">
        <v>368.10825499437982</v>
      </c>
      <c r="G44" s="3">
        <v>81.70696691580568</v>
      </c>
      <c r="H44" s="3">
        <v>35.481839116559414</v>
      </c>
      <c r="I44" s="3">
        <v>248.29056552496536</v>
      </c>
      <c r="J44" s="5">
        <f t="shared" si="2"/>
        <v>3098.1222900834514</v>
      </c>
      <c r="K44" s="3">
        <v>732.62384564888225</v>
      </c>
      <c r="L44" s="3">
        <v>205.65418883350267</v>
      </c>
      <c r="M44" s="3">
        <v>220.56373338442762</v>
      </c>
      <c r="N44" s="3">
        <v>182.64344245724834</v>
      </c>
      <c r="O44" s="3">
        <v>417.06269595542091</v>
      </c>
      <c r="P44">
        <v>243.09652393200852</v>
      </c>
      <c r="Q44">
        <v>43.733756529114643</v>
      </c>
      <c r="R44">
        <v>212.62643264965578</v>
      </c>
      <c r="S44">
        <v>355.9744064778526</v>
      </c>
      <c r="T44">
        <v>230.24223534990136</v>
      </c>
      <c r="U44">
        <v>76.134859830138566</v>
      </c>
      <c r="V44">
        <v>72.100551199895932</v>
      </c>
      <c r="W44">
        <v>75.130520273342569</v>
      </c>
      <c r="X44">
        <v>30.535097562060095</v>
      </c>
      <c r="Y44" s="5">
        <f t="shared" si="3"/>
        <v>4353.158171826708</v>
      </c>
      <c r="Z44" s="3">
        <v>700.70861714568866</v>
      </c>
      <c r="AA44" s="5">
        <f t="shared" si="4"/>
        <v>5053.8667889723965</v>
      </c>
    </row>
    <row r="45" spans="1:27" x14ac:dyDescent="0.25">
      <c r="A45" s="2">
        <v>2023</v>
      </c>
      <c r="B45" s="5">
        <f t="shared" si="1"/>
        <v>486.56934140209256</v>
      </c>
      <c r="C45" s="3">
        <v>430.54577119526459</v>
      </c>
      <c r="D45">
        <v>56.023570206827948</v>
      </c>
      <c r="E45" s="5">
        <f t="shared" si="5"/>
        <v>720.93401424526269</v>
      </c>
      <c r="F45" s="3">
        <v>362.69330625263194</v>
      </c>
      <c r="G45" s="3">
        <v>69.296758354849345</v>
      </c>
      <c r="H45" s="3">
        <v>37.188573908411598</v>
      </c>
      <c r="I45" s="3">
        <v>251.7553757293698</v>
      </c>
      <c r="J45" s="5">
        <f t="shared" si="2"/>
        <v>3178.3577789882015</v>
      </c>
      <c r="K45" s="3">
        <v>726.43045334388773</v>
      </c>
      <c r="L45" s="3">
        <v>196.83559343297418</v>
      </c>
      <c r="M45" s="3">
        <v>272.37698781935529</v>
      </c>
      <c r="N45" s="3">
        <v>181.69556068838006</v>
      </c>
      <c r="O45" s="3">
        <v>427.21517106851144</v>
      </c>
      <c r="P45">
        <v>247.3260487744619</v>
      </c>
      <c r="Q45">
        <v>42.973922083563608</v>
      </c>
      <c r="R45">
        <v>236.10343254946869</v>
      </c>
      <c r="S45">
        <v>361.52350301350975</v>
      </c>
      <c r="T45">
        <v>229.2202987631033</v>
      </c>
      <c r="U45">
        <v>80.154235420367343</v>
      </c>
      <c r="V45">
        <v>69.089902455328271</v>
      </c>
      <c r="W45">
        <v>76.410423830473235</v>
      </c>
      <c r="X45">
        <v>31.002245744816854</v>
      </c>
      <c r="Y45" s="5">
        <f t="shared" si="3"/>
        <v>4385.8611346355565</v>
      </c>
      <c r="Z45" s="3">
        <v>693.28146605460392</v>
      </c>
      <c r="AA45" s="5">
        <f t="shared" si="4"/>
        <v>5079.1426006901602</v>
      </c>
    </row>
    <row r="46" spans="1:27" x14ac:dyDescent="0.25">
      <c r="A46" s="2">
        <v>2024</v>
      </c>
      <c r="B46" s="5">
        <f t="shared" si="1"/>
        <v>500.04581743774918</v>
      </c>
      <c r="C46" s="3">
        <v>445.93187782801681</v>
      </c>
      <c r="D46">
        <v>54.113939609732398</v>
      </c>
      <c r="E46" s="5">
        <f t="shared" si="5"/>
        <v>745.01006934062593</v>
      </c>
      <c r="F46" s="3">
        <v>366.68976364064883</v>
      </c>
      <c r="G46" s="3">
        <v>70.153513455558766</v>
      </c>
      <c r="H46" s="3">
        <v>40.385072924011695</v>
      </c>
      <c r="I46" s="3">
        <v>267.78171932040658</v>
      </c>
      <c r="J46" s="5">
        <f t="shared" si="2"/>
        <v>3323.9324613249855</v>
      </c>
      <c r="K46" s="3">
        <v>738.45632306834023</v>
      </c>
      <c r="L46" s="3">
        <v>223.55052374394893</v>
      </c>
      <c r="M46" s="3">
        <v>334.36045206370886</v>
      </c>
      <c r="N46" s="3">
        <v>189.1810507482719</v>
      </c>
      <c r="O46" s="3">
        <v>438.01569808422352</v>
      </c>
      <c r="P46">
        <v>250.36648909103232</v>
      </c>
      <c r="Q46">
        <v>37.816387695143099</v>
      </c>
      <c r="R46">
        <v>247.63191501128898</v>
      </c>
      <c r="S46">
        <v>368.25482738309148</v>
      </c>
      <c r="T46">
        <v>234.68338797900677</v>
      </c>
      <c r="U46">
        <v>74.968572856955547</v>
      </c>
      <c r="V46">
        <v>101.30475153706629</v>
      </c>
      <c r="W46">
        <v>53.927154187228496</v>
      </c>
      <c r="X46">
        <v>31.414927875678448</v>
      </c>
      <c r="Y46" s="5">
        <f t="shared" si="3"/>
        <v>4568.9883481033603</v>
      </c>
      <c r="Z46" s="3">
        <v>688.16119495146268</v>
      </c>
      <c r="AA46" s="5">
        <f t="shared" si="4"/>
        <v>5257.149543054823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Descartes</dc:creator>
  <cp:lastModifiedBy>Tommy Descartes</cp:lastModifiedBy>
  <dcterms:created xsi:type="dcterms:W3CDTF">2026-05-26T18:49:43Z</dcterms:created>
  <dcterms:modified xsi:type="dcterms:W3CDTF">2026-05-27T12:59:06Z</dcterms:modified>
</cp:coreProperties>
</file>